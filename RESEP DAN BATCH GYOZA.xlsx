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775f50cb8ce0e/Desktop/"/>
    </mc:Choice>
  </mc:AlternateContent>
  <xr:revisionPtr revIDLastSave="8" documentId="8_{F1E59010-6F9D-41F3-9CFF-0FAF238B4D3A}" xr6:coauthVersionLast="47" xr6:coauthVersionMax="47" xr10:uidLastSave="{5A6D9A94-4943-479A-9EC0-9047364295EC}"/>
  <bookViews>
    <workbookView xWindow="-120" yWindow="-120" windowWidth="29040" windowHeight="15720" activeTab="10" xr2:uid="{3AC3B2FC-6D98-404F-AE8F-33B101DFC564}"/>
  </bookViews>
  <sheets>
    <sheet name="POS" sheetId="8" r:id="rId1"/>
    <sheet name="CASH FLOW" sheetId="12" r:id="rId2"/>
    <sheet name="TOTAL HPP" sheetId="9" r:id="rId3"/>
    <sheet name="RESEP" sheetId="3" r:id="rId4"/>
    <sheet name="MASTER BAHAN" sheetId="13" r:id="rId5"/>
    <sheet name="Btach 1" sheetId="1" r:id="rId6"/>
    <sheet name="Batch2" sheetId="2" r:id="rId7"/>
    <sheet name="BATCH 3" sheetId="4" r:id="rId8"/>
    <sheet name="BATCH 4" sheetId="5" r:id="rId9"/>
    <sheet name="BATCH 5" sheetId="6" r:id="rId10"/>
    <sheet name="BATCH 6" sheetId="7" r:id="rId11"/>
    <sheet name="Chart1" sheetId="16" r:id="rId12"/>
    <sheet name="BATCH 7" sheetId="11" r:id="rId13"/>
    <sheet name="BATCH 9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8" l="1"/>
  <c r="J24" i="7"/>
  <c r="J25" i="7"/>
  <c r="J27" i="7"/>
  <c r="E7" i="5"/>
  <c r="E5" i="5"/>
  <c r="E8" i="5"/>
  <c r="D26" i="5"/>
  <c r="L5" i="5"/>
  <c r="K5" i="5"/>
  <c r="L4" i="5"/>
  <c r="K4" i="5"/>
  <c r="L3" i="5"/>
  <c r="K3" i="5"/>
  <c r="L5" i="6"/>
  <c r="K5" i="6"/>
  <c r="L4" i="6"/>
  <c r="K4" i="6"/>
  <c r="L3" i="6"/>
  <c r="K3" i="6"/>
  <c r="L5" i="7"/>
  <c r="K5" i="7"/>
  <c r="L4" i="7"/>
  <c r="K4" i="7"/>
  <c r="L3" i="7"/>
  <c r="K3" i="7"/>
  <c r="L3" i="11"/>
  <c r="E8" i="11"/>
  <c r="F8" i="11" s="1"/>
  <c r="L5" i="11"/>
  <c r="K5" i="11"/>
  <c r="K4" i="11"/>
  <c r="E5" i="11"/>
  <c r="K3" i="11"/>
  <c r="J24" i="11"/>
  <c r="J11" i="11"/>
  <c r="N41" i="11"/>
  <c r="J41" i="11"/>
  <c r="N39" i="11"/>
  <c r="J39" i="11"/>
  <c r="D27" i="11"/>
  <c r="E27" i="11" s="1"/>
  <c r="D26" i="11"/>
  <c r="E26" i="11" s="1"/>
  <c r="N27" i="11"/>
  <c r="J27" i="11"/>
  <c r="N26" i="11"/>
  <c r="J26" i="11"/>
  <c r="N24" i="11"/>
  <c r="C19" i="11"/>
  <c r="D18" i="11" s="1"/>
  <c r="J18" i="11"/>
  <c r="E18" i="11"/>
  <c r="F18" i="11" s="1"/>
  <c r="F17" i="11"/>
  <c r="F16" i="11"/>
  <c r="F15" i="11"/>
  <c r="F14" i="11"/>
  <c r="F13" i="11"/>
  <c r="J12" i="11"/>
  <c r="J25" i="11" s="1"/>
  <c r="F12" i="11"/>
  <c r="F11" i="11"/>
  <c r="F10" i="11"/>
  <c r="F9" i="11"/>
  <c r="F6" i="11"/>
  <c r="L4" i="11"/>
  <c r="E7" i="11" s="1"/>
  <c r="F7" i="11" s="1"/>
  <c r="I15" i="8"/>
  <c r="G18" i="8"/>
  <c r="I12" i="8"/>
  <c r="I13" i="8"/>
  <c r="I11" i="8"/>
  <c r="I10" i="8"/>
  <c r="I9" i="8"/>
  <c r="I7" i="8"/>
  <c r="I6" i="8"/>
  <c r="I5" i="8"/>
  <c r="I14" i="8"/>
  <c r="D36" i="7"/>
  <c r="E36" i="7"/>
  <c r="C38" i="7"/>
  <c r="N41" i="7"/>
  <c r="N40" i="7"/>
  <c r="N39" i="7"/>
  <c r="D26" i="7"/>
  <c r="E26" i="7" s="1"/>
  <c r="D25" i="7"/>
  <c r="E25" i="7" s="1"/>
  <c r="J39" i="7"/>
  <c r="E7" i="7"/>
  <c r="F7" i="7" s="1"/>
  <c r="J41" i="7"/>
  <c r="N27" i="7"/>
  <c r="N26" i="7"/>
  <c r="J26" i="7"/>
  <c r="C19" i="7"/>
  <c r="D13" i="7" s="1"/>
  <c r="E18" i="7"/>
  <c r="F18" i="7" s="1"/>
  <c r="F17" i="7"/>
  <c r="F16" i="7"/>
  <c r="F15" i="7"/>
  <c r="F14" i="7"/>
  <c r="F13" i="7"/>
  <c r="J12" i="7"/>
  <c r="J40" i="7" s="1"/>
  <c r="F12" i="7"/>
  <c r="J11" i="7"/>
  <c r="N24" i="7" s="1"/>
  <c r="F11" i="7"/>
  <c r="F10" i="7"/>
  <c r="F9" i="7"/>
  <c r="F8" i="7"/>
  <c r="F6" i="7"/>
  <c r="E5" i="7"/>
  <c r="F5" i="7" s="1"/>
  <c r="J41" i="6"/>
  <c r="N27" i="6"/>
  <c r="J27" i="6"/>
  <c r="J12" i="6"/>
  <c r="N25" i="6" s="1"/>
  <c r="J11" i="6"/>
  <c r="N24" i="6" s="1"/>
  <c r="F6" i="6"/>
  <c r="F8" i="6"/>
  <c r="F9" i="6"/>
  <c r="F10" i="6"/>
  <c r="F11" i="6"/>
  <c r="F12" i="6"/>
  <c r="F13" i="6"/>
  <c r="F14" i="6"/>
  <c r="F15" i="6"/>
  <c r="F16" i="6"/>
  <c r="F17" i="6"/>
  <c r="J40" i="6"/>
  <c r="J39" i="6"/>
  <c r="C30" i="6"/>
  <c r="N26" i="6"/>
  <c r="J26" i="6"/>
  <c r="J24" i="6"/>
  <c r="C19" i="6"/>
  <c r="D17" i="6" s="1"/>
  <c r="E18" i="6"/>
  <c r="F18" i="6" s="1"/>
  <c r="D26" i="6"/>
  <c r="E26" i="6" s="1"/>
  <c r="E7" i="6"/>
  <c r="F7" i="6" s="1"/>
  <c r="E5" i="6"/>
  <c r="F5" i="6" s="1"/>
  <c r="D13" i="11" l="1"/>
  <c r="D8" i="11"/>
  <c r="F5" i="11"/>
  <c r="F19" i="11" s="1"/>
  <c r="E19" i="11"/>
  <c r="N25" i="11"/>
  <c r="J40" i="11"/>
  <c r="N40" i="11"/>
  <c r="D10" i="11"/>
  <c r="D15" i="11"/>
  <c r="D11" i="11"/>
  <c r="D6" i="11"/>
  <c r="D17" i="11"/>
  <c r="D7" i="11"/>
  <c r="D12" i="11"/>
  <c r="C25" i="11"/>
  <c r="D9" i="11"/>
  <c r="D14" i="11"/>
  <c r="D5" i="11"/>
  <c r="D16" i="11"/>
  <c r="D35" i="7"/>
  <c r="E35" i="7" s="1"/>
  <c r="C24" i="7"/>
  <c r="J18" i="7"/>
  <c r="N25" i="7"/>
  <c r="D5" i="7"/>
  <c r="D14" i="7"/>
  <c r="D9" i="7"/>
  <c r="D15" i="7"/>
  <c r="D10" i="7"/>
  <c r="D16" i="7"/>
  <c r="D11" i="7"/>
  <c r="F19" i="7"/>
  <c r="D24" i="7" s="1"/>
  <c r="E19" i="7"/>
  <c r="D6" i="7"/>
  <c r="D17" i="7"/>
  <c r="D7" i="7"/>
  <c r="D12" i="7"/>
  <c r="C34" i="7"/>
  <c r="D18" i="7"/>
  <c r="D8" i="7"/>
  <c r="D16" i="6"/>
  <c r="D18" i="6"/>
  <c r="J25" i="6"/>
  <c r="E19" i="6"/>
  <c r="D6" i="6"/>
  <c r="D10" i="6"/>
  <c r="D7" i="6"/>
  <c r="C25" i="6"/>
  <c r="D12" i="6"/>
  <c r="D13" i="6"/>
  <c r="D14" i="6"/>
  <c r="D8" i="6"/>
  <c r="D9" i="6"/>
  <c r="D5" i="6"/>
  <c r="D15" i="6"/>
  <c r="F19" i="6"/>
  <c r="D11" i="6"/>
  <c r="C30" i="5"/>
  <c r="N26" i="5"/>
  <c r="N25" i="5"/>
  <c r="N24" i="5"/>
  <c r="C26" i="5"/>
  <c r="J38" i="5"/>
  <c r="J37" i="5"/>
  <c r="J24" i="5"/>
  <c r="C19" i="5"/>
  <c r="D18" i="5" s="1"/>
  <c r="E18" i="5"/>
  <c r="F18" i="5" s="1"/>
  <c r="D25" i="4"/>
  <c r="D26" i="4"/>
  <c r="D46" i="5"/>
  <c r="D45" i="5"/>
  <c r="D44" i="5"/>
  <c r="J26" i="5"/>
  <c r="J25" i="5"/>
  <c r="F17" i="5"/>
  <c r="F16" i="5"/>
  <c r="F15" i="5"/>
  <c r="F14" i="5"/>
  <c r="F13" i="5"/>
  <c r="F12" i="5"/>
  <c r="F11" i="5"/>
  <c r="F10" i="5"/>
  <c r="F9" i="5"/>
  <c r="F8" i="5"/>
  <c r="F6" i="5"/>
  <c r="F7" i="5"/>
  <c r="D44" i="4"/>
  <c r="D43" i="4"/>
  <c r="H48" i="4"/>
  <c r="H47" i="4"/>
  <c r="H46" i="4"/>
  <c r="L38" i="4"/>
  <c r="L37" i="4"/>
  <c r="L36" i="4"/>
  <c r="H38" i="4"/>
  <c r="H37" i="4"/>
  <c r="H36" i="4"/>
  <c r="I3" i="4"/>
  <c r="D42" i="4"/>
  <c r="E26" i="4"/>
  <c r="E24" i="2"/>
  <c r="D7" i="4"/>
  <c r="D8" i="4"/>
  <c r="C18" i="4"/>
  <c r="D11" i="4" s="1"/>
  <c r="J10" i="4"/>
  <c r="I11" i="4"/>
  <c r="F17" i="4"/>
  <c r="F16" i="4"/>
  <c r="F15" i="4"/>
  <c r="F14" i="4"/>
  <c r="F13" i="4"/>
  <c r="F12" i="4"/>
  <c r="F11" i="4"/>
  <c r="F10" i="4"/>
  <c r="F9" i="4"/>
  <c r="F8" i="4"/>
  <c r="F6" i="4"/>
  <c r="I4" i="4"/>
  <c r="E7" i="4" s="1"/>
  <c r="F7" i="4" s="1"/>
  <c r="E5" i="4"/>
  <c r="E18" i="4" s="1"/>
  <c r="F17" i="1"/>
  <c r="D17" i="1"/>
  <c r="F20" i="2"/>
  <c r="E32" i="2"/>
  <c r="D32" i="2"/>
  <c r="J10" i="2"/>
  <c r="J11" i="2" s="1"/>
  <c r="E26" i="2"/>
  <c r="E27" i="2"/>
  <c r="E25" i="2"/>
  <c r="D25" i="2"/>
  <c r="E33" i="2"/>
  <c r="D33" i="2"/>
  <c r="C32" i="2"/>
  <c r="D27" i="2"/>
  <c r="C33" i="2"/>
  <c r="D6" i="2"/>
  <c r="D8" i="2"/>
  <c r="D9" i="2"/>
  <c r="D10" i="2"/>
  <c r="D11" i="2"/>
  <c r="D12" i="2"/>
  <c r="D13" i="2"/>
  <c r="D14" i="2"/>
  <c r="D15" i="2"/>
  <c r="D16" i="2"/>
  <c r="D17" i="2"/>
  <c r="D18" i="2"/>
  <c r="D5" i="2"/>
  <c r="C18" i="2"/>
  <c r="F11" i="2"/>
  <c r="F17" i="2"/>
  <c r="F16" i="2"/>
  <c r="F15" i="2"/>
  <c r="F14" i="2"/>
  <c r="F13" i="2"/>
  <c r="F12" i="2"/>
  <c r="F10" i="2"/>
  <c r="F9" i="2"/>
  <c r="E8" i="2"/>
  <c r="F8" i="2" s="1"/>
  <c r="F7" i="2"/>
  <c r="F6" i="2"/>
  <c r="I4" i="2"/>
  <c r="I3" i="2"/>
  <c r="E5" i="2" s="1"/>
  <c r="J11" i="1"/>
  <c r="J10" i="1"/>
  <c r="I10" i="1"/>
  <c r="C30" i="1"/>
  <c r="D29" i="1"/>
  <c r="D30" i="1" s="1"/>
  <c r="D36" i="1"/>
  <c r="D35" i="1"/>
  <c r="D34" i="1"/>
  <c r="D43" i="1"/>
  <c r="D6" i="1"/>
  <c r="D8" i="1"/>
  <c r="D9" i="1"/>
  <c r="D10" i="1"/>
  <c r="D11" i="1"/>
  <c r="D12" i="1"/>
  <c r="D13" i="1"/>
  <c r="D14" i="1"/>
  <c r="D15" i="1"/>
  <c r="D16" i="1"/>
  <c r="D18" i="1"/>
  <c r="D5" i="1"/>
  <c r="C18" i="1"/>
  <c r="F6" i="1"/>
  <c r="F9" i="1"/>
  <c r="F10" i="1"/>
  <c r="F11" i="1"/>
  <c r="F12" i="1"/>
  <c r="F13" i="1"/>
  <c r="F14" i="1"/>
  <c r="F15" i="1"/>
  <c r="F16" i="1"/>
  <c r="I4" i="1"/>
  <c r="E8" i="1" s="1"/>
  <c r="F8" i="1" s="1"/>
  <c r="I3" i="1"/>
  <c r="E5" i="1" s="1"/>
  <c r="N38" i="11" l="1"/>
  <c r="N42" i="11" s="1"/>
  <c r="N46" i="11" s="1"/>
  <c r="D19" i="11"/>
  <c r="D25" i="11"/>
  <c r="E25" i="11" s="1"/>
  <c r="E28" i="11" s="1"/>
  <c r="C30" i="11" s="1"/>
  <c r="E24" i="7"/>
  <c r="E27" i="7"/>
  <c r="D19" i="7"/>
  <c r="D34" i="7"/>
  <c r="E34" i="7" s="1"/>
  <c r="D25" i="6"/>
  <c r="E25" i="6" s="1"/>
  <c r="E27" i="6" s="1"/>
  <c r="C29" i="6" s="1"/>
  <c r="D19" i="6"/>
  <c r="E26" i="5"/>
  <c r="E19" i="5"/>
  <c r="D17" i="5"/>
  <c r="F5" i="5"/>
  <c r="F19" i="5" s="1"/>
  <c r="D12" i="5"/>
  <c r="D13" i="5"/>
  <c r="D9" i="5"/>
  <c r="D8" i="5"/>
  <c r="D14" i="5"/>
  <c r="C25" i="5"/>
  <c r="D15" i="5"/>
  <c r="D5" i="5"/>
  <c r="D10" i="5"/>
  <c r="D6" i="5"/>
  <c r="D11" i="5"/>
  <c r="D16" i="5"/>
  <c r="D7" i="5"/>
  <c r="D14" i="4"/>
  <c r="D10" i="4"/>
  <c r="D9" i="4"/>
  <c r="D6" i="4"/>
  <c r="D17" i="4"/>
  <c r="D5" i="4"/>
  <c r="D16" i="4"/>
  <c r="D15" i="4"/>
  <c r="D13" i="4"/>
  <c r="D12" i="4"/>
  <c r="D18" i="4" s="1"/>
  <c r="C25" i="4"/>
  <c r="F5" i="4"/>
  <c r="F5" i="2"/>
  <c r="F19" i="2" s="1"/>
  <c r="E19" i="2"/>
  <c r="D19" i="2"/>
  <c r="D33" i="1"/>
  <c r="D37" i="1" s="1"/>
  <c r="D39" i="1" s="1"/>
  <c r="D42" i="1"/>
  <c r="D44" i="1" s="1"/>
  <c r="D46" i="1" s="1"/>
  <c r="E18" i="1"/>
  <c r="F5" i="1"/>
  <c r="F18" i="1" s="1"/>
  <c r="F7" i="1"/>
  <c r="N44" i="11" l="1"/>
  <c r="N45" i="11" s="1"/>
  <c r="N23" i="11"/>
  <c r="N28" i="11" s="1"/>
  <c r="J38" i="11"/>
  <c r="J42" i="11" s="1"/>
  <c r="J23" i="11"/>
  <c r="J28" i="11" s="1"/>
  <c r="E37" i="7"/>
  <c r="C39" i="7" s="1"/>
  <c r="J23" i="7" s="1"/>
  <c r="C29" i="7"/>
  <c r="N38" i="7" s="1"/>
  <c r="N42" i="7" s="1"/>
  <c r="J38" i="6"/>
  <c r="J42" i="6" s="1"/>
  <c r="N23" i="6"/>
  <c r="N28" i="6" s="1"/>
  <c r="N30" i="6" s="1"/>
  <c r="N31" i="6" s="1"/>
  <c r="J23" i="6"/>
  <c r="J28" i="6" s="1"/>
  <c r="J32" i="6" s="1"/>
  <c r="D19" i="5"/>
  <c r="D25" i="5"/>
  <c r="E25" i="5" s="1"/>
  <c r="E27" i="5" s="1"/>
  <c r="C29" i="5" s="1"/>
  <c r="J11" i="4"/>
  <c r="F18" i="4"/>
  <c r="E25" i="4" s="1"/>
  <c r="E27" i="4" s="1"/>
  <c r="C29" i="4" s="1"/>
  <c r="J30" i="11" l="1"/>
  <c r="J31" i="11" s="1"/>
  <c r="J32" i="11"/>
  <c r="J44" i="11"/>
  <c r="J45" i="11" s="1"/>
  <c r="J46" i="11"/>
  <c r="N32" i="11"/>
  <c r="N30" i="11"/>
  <c r="N31" i="11" s="1"/>
  <c r="J38" i="7"/>
  <c r="J42" i="7" s="1"/>
  <c r="J46" i="7" s="1"/>
  <c r="J28" i="7"/>
  <c r="J30" i="7" s="1"/>
  <c r="J31" i="7" s="1"/>
  <c r="N23" i="7"/>
  <c r="N28" i="7" s="1"/>
  <c r="N46" i="7"/>
  <c r="N44" i="7"/>
  <c r="N45" i="7" s="1"/>
  <c r="N30" i="7"/>
  <c r="N31" i="7" s="1"/>
  <c r="N32" i="7"/>
  <c r="N32" i="6"/>
  <c r="J46" i="6"/>
  <c r="J44" i="6"/>
  <c r="J45" i="6" s="1"/>
  <c r="J30" i="6"/>
  <c r="J31" i="6" s="1"/>
  <c r="J36" i="5"/>
  <c r="N23" i="5"/>
  <c r="N27" i="5" s="1"/>
  <c r="J41" i="5"/>
  <c r="J42" i="5" s="1"/>
  <c r="J43" i="5"/>
  <c r="L35" i="4"/>
  <c r="L39" i="4" s="1"/>
  <c r="L41" i="4" s="1"/>
  <c r="H45" i="4"/>
  <c r="H49" i="4" s="1"/>
  <c r="H51" i="4" s="1"/>
  <c r="D43" i="5"/>
  <c r="D47" i="5" s="1"/>
  <c r="D49" i="5" s="1"/>
  <c r="J23" i="5"/>
  <c r="J27" i="5" s="1"/>
  <c r="D41" i="4"/>
  <c r="H35" i="4"/>
  <c r="H39" i="4" s="1"/>
  <c r="H41" i="4" s="1"/>
  <c r="J44" i="7" l="1"/>
  <c r="J45" i="7" s="1"/>
  <c r="J32" i="7"/>
  <c r="N31" i="5"/>
  <c r="N29" i="5"/>
  <c r="N30" i="5" s="1"/>
  <c r="J31" i="5"/>
  <c r="J29" i="5"/>
  <c r="J30" i="5" s="1"/>
  <c r="D45" i="4"/>
  <c r="D47" i="4" s="1"/>
</calcChain>
</file>

<file path=xl/sharedStrings.xml><?xml version="1.0" encoding="utf-8"?>
<sst xmlns="http://schemas.openxmlformats.org/spreadsheetml/2006/main" count="647" uniqueCount="115">
  <si>
    <t>DAGING AYAM</t>
  </si>
  <si>
    <t>DAUN BAWANG</t>
  </si>
  <si>
    <t>DAUN PRE</t>
  </si>
  <si>
    <t>RESEP ADONAN GYOZA</t>
  </si>
  <si>
    <t>BAHAN</t>
  </si>
  <si>
    <t>QUANTITY</t>
  </si>
  <si>
    <t>HARGA</t>
  </si>
  <si>
    <t>TOTAL</t>
  </si>
  <si>
    <t>SAWI PUTIH</t>
  </si>
  <si>
    <t>MICIN</t>
  </si>
  <si>
    <t>GULA</t>
  </si>
  <si>
    <t>GARAM</t>
  </si>
  <si>
    <t>KALDU JAMUR</t>
  </si>
  <si>
    <t>AYAM 5KG JADI 3KG AYAM FILET</t>
  </si>
  <si>
    <t>PACKING JUALAN</t>
  </si>
  <si>
    <t>SAOS TIRAM</t>
  </si>
  <si>
    <t>MINYAK WIJEN</t>
  </si>
  <si>
    <t>JAHE</t>
  </si>
  <si>
    <t>PAPER BOX</t>
  </si>
  <si>
    <t>SAOS BANGKOK FILMA</t>
  </si>
  <si>
    <t>SUMPIT</t>
  </si>
  <si>
    <t>PLASTIK SEAL</t>
  </si>
  <si>
    <t>GORENG</t>
  </si>
  <si>
    <t>FROZEN</t>
  </si>
  <si>
    <t>D. PRE 1KG JADI 450G DUAN</t>
  </si>
  <si>
    <t>TEPUNG TAPIOKA</t>
  </si>
  <si>
    <t>KULIT GYOZA ISI 30</t>
  </si>
  <si>
    <t>PERSEN</t>
  </si>
  <si>
    <t>BATCH 1</t>
  </si>
  <si>
    <t xml:space="preserve">GYOZA </t>
  </si>
  <si>
    <t>jumlah</t>
  </si>
  <si>
    <t>hasil batch adonan</t>
  </si>
  <si>
    <t>total</t>
  </si>
  <si>
    <t>KULIT GYOZA 3.5</t>
  </si>
  <si>
    <t xml:space="preserve">harga jual </t>
  </si>
  <si>
    <t>hpp</t>
  </si>
  <si>
    <t>BAWANG PUTIH</t>
  </si>
  <si>
    <t>AIR/MINYAK</t>
  </si>
  <si>
    <t>RESEP ADONAN GYOZA BATCH 2</t>
  </si>
  <si>
    <t>UNTUK UMUM</t>
  </si>
  <si>
    <t>ADONAN</t>
  </si>
  <si>
    <t>TAMBAHAN AYAM</t>
  </si>
  <si>
    <t xml:space="preserve">TAMBAHAN AYAM </t>
  </si>
  <si>
    <t>TAMBAH MASAKO</t>
  </si>
  <si>
    <t>TAMBAH TEPUNG</t>
  </si>
  <si>
    <t>BATCH UNTUK AIRA</t>
  </si>
  <si>
    <t>KULIT GYOZA 6</t>
  </si>
  <si>
    <t xml:space="preserve">HASIL AKHIR </t>
  </si>
  <si>
    <t>170PCS</t>
  </si>
  <si>
    <t xml:space="preserve">30PCS </t>
  </si>
  <si>
    <t>RESEP ADONAN GYOZA BATCH 3</t>
  </si>
  <si>
    <t>BATCH 3</t>
  </si>
  <si>
    <t>\</t>
  </si>
  <si>
    <t>\/'</t>
  </si>
  <si>
    <t>'[]'</t>
  </si>
  <si>
    <t>[[]-'' PTRGTCCVO</t>
  </si>
  <si>
    <t>29/8/26</t>
  </si>
  <si>
    <t>HASIL AKHIR BATCH 3</t>
  </si>
  <si>
    <t>Total</t>
  </si>
  <si>
    <t>KULIT GYOZA</t>
  </si>
  <si>
    <t>Total HPP</t>
  </si>
  <si>
    <t>Total Pcs</t>
  </si>
  <si>
    <t>PAPER BOX L</t>
  </si>
  <si>
    <t>RESEP ADONAN GYOZA BATCH 4</t>
  </si>
  <si>
    <t>TELUR</t>
  </si>
  <si>
    <t>HASIL AKHIR BATCH 4</t>
  </si>
  <si>
    <t>NAMA BARANG</t>
  </si>
  <si>
    <t>KEUNTUNGAN</t>
  </si>
  <si>
    <t>MARGIN</t>
  </si>
  <si>
    <t>HPP</t>
  </si>
  <si>
    <t xml:space="preserve">HARGA JUAL </t>
  </si>
  <si>
    <t>PAPER BOX M</t>
  </si>
  <si>
    <t>STIKER</t>
  </si>
  <si>
    <t xml:space="preserve">AYAM </t>
  </si>
  <si>
    <t>D. PRE</t>
  </si>
  <si>
    <t>GORENG RUMAH</t>
  </si>
  <si>
    <t>FROZEN RUMAH</t>
  </si>
  <si>
    <t xml:space="preserve">PALSTIK SEAL </t>
  </si>
  <si>
    <t>GORENG OFFLINE</t>
  </si>
  <si>
    <t>TOTAL KOTOR</t>
  </si>
  <si>
    <t>TOTAL PCS</t>
  </si>
  <si>
    <t>TOTAL BERSIH</t>
  </si>
  <si>
    <t>TOTAL HARGA PCS</t>
  </si>
  <si>
    <t>RESEP ADONAN GYOZA BATCH 6</t>
  </si>
  <si>
    <t>HASIL AKHIR BATCH 6</t>
  </si>
  <si>
    <t>HASIL FROZEN BATCH 6</t>
  </si>
  <si>
    <t xml:space="preserve">TEPUNG TAPIOKA </t>
  </si>
  <si>
    <t>FROZEN RESELLER</t>
  </si>
  <si>
    <t>TANGGAL</t>
  </si>
  <si>
    <t>TIPE</t>
  </si>
  <si>
    <t>ITEM</t>
  </si>
  <si>
    <t>MASAK</t>
  </si>
  <si>
    <t>METODE</t>
  </si>
  <si>
    <t>REKAPAN PENJUALAN</t>
  </si>
  <si>
    <t>BATCH</t>
  </si>
  <si>
    <t>Gyoza</t>
  </si>
  <si>
    <t>Frozen</t>
  </si>
  <si>
    <t>Bank</t>
  </si>
  <si>
    <t>Kukus</t>
  </si>
  <si>
    <t>Goreng</t>
  </si>
  <si>
    <t>Cash</t>
  </si>
  <si>
    <t>Error</t>
  </si>
  <si>
    <t>WA</t>
  </si>
  <si>
    <t>Biaya Offfer-Head</t>
  </si>
  <si>
    <t>Tread</t>
  </si>
  <si>
    <t>Shopee</t>
  </si>
  <si>
    <t>Mix</t>
  </si>
  <si>
    <t>IN/OUT</t>
  </si>
  <si>
    <t>CASH/BANK</t>
  </si>
  <si>
    <t>KATAGORI</t>
  </si>
  <si>
    <t>HASIL AKHIR BATCH 8</t>
  </si>
  <si>
    <t>RESEP ADONAN GYOZA BATCH 8</t>
  </si>
  <si>
    <t>BARANG</t>
  </si>
  <si>
    <t>YIELD</t>
  </si>
  <si>
    <t>HARGA EFEKTIF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</si>
</sst>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Rp-421]* #,##0.00_-;\-[$Rp-421]* #,##0.00_-;_-[$Rp-421]* &quot;-&quot;??_-;_-@_-"/>
    <numFmt numFmtId="165" formatCode="_-[$Rp-421]* #,##0_-;\-[$Rp-421]* #,##0_-;_-[$Rp-421]* &quot;-&quot;??_-;_-@_-"/>
    <numFmt numFmtId="166" formatCode="0.0%"/>
    <numFmt numFmtId="167" formatCode="[$-F800]dddd\,\ mmmm\ dd\,\ yyyy"/>
    <numFmt numFmtId="168" formatCode="0.000"/>
    <numFmt numFmtId="169" formatCode="_-[$Rp-421]* #,##0.0_-;\-[$Rp-421]* #,##0.0_-;_-[$Rp-421]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theme="6"/>
      </left>
      <right style="thin">
        <color theme="6"/>
      </right>
      <top style="double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" fontId="0" fillId="0" borderId="0" xfId="0" applyNumberFormat="1"/>
    <xf numFmtId="9" fontId="0" fillId="0" borderId="0" xfId="1" applyFont="1"/>
    <xf numFmtId="166" fontId="0" fillId="0" borderId="0" xfId="1" applyNumberFormat="1" applyFon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quotePrefix="1"/>
    <xf numFmtId="9" fontId="0" fillId="0" borderId="0" xfId="0" applyNumberFormat="1" applyFont="1"/>
    <xf numFmtId="0" fontId="3" fillId="0" borderId="0" xfId="0" applyFont="1" applyAlignment="1"/>
    <xf numFmtId="165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6" fontId="0" fillId="2" borderId="0" xfId="1" applyNumberFormat="1" applyFont="1" applyFill="1"/>
    <xf numFmtId="9" fontId="0" fillId="0" borderId="0" xfId="1" applyNumberFormat="1" applyFont="1"/>
    <xf numFmtId="9" fontId="1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65" fontId="4" fillId="0" borderId="0" xfId="0" applyNumberFormat="1" applyFont="1"/>
    <xf numFmtId="165" fontId="4" fillId="0" borderId="1" xfId="0" applyNumberFormat="1" applyFont="1" applyBorder="1"/>
    <xf numFmtId="0" fontId="0" fillId="0" borderId="0" xfId="0" applyNumberForma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7" fontId="0" fillId="0" borderId="0" xfId="0" applyNumberFormat="1" applyFill="1" applyAlignment="1"/>
    <xf numFmtId="166" fontId="0" fillId="0" borderId="0" xfId="1" applyNumberFormat="1" applyFont="1" applyFill="1"/>
    <xf numFmtId="165" fontId="0" fillId="0" borderId="0" xfId="0" applyNumberFormat="1" applyFill="1"/>
    <xf numFmtId="164" fontId="0" fillId="0" borderId="0" xfId="0" applyNumberFormat="1" applyFill="1"/>
    <xf numFmtId="9" fontId="0" fillId="0" borderId="0" xfId="1" applyFont="1" applyFill="1"/>
    <xf numFmtId="0" fontId="0" fillId="0" borderId="0" xfId="0" applyNumberFormat="1" applyFill="1" applyAlignment="1">
      <alignment horizontal="center" vertical="center"/>
    </xf>
    <xf numFmtId="1" fontId="0" fillId="0" borderId="0" xfId="0" applyNumberFormat="1" applyFill="1"/>
    <xf numFmtId="9" fontId="0" fillId="0" borderId="0" xfId="1" applyNumberFormat="1" applyFont="1" applyFill="1"/>
    <xf numFmtId="9" fontId="1" fillId="0" borderId="0" xfId="0" applyNumberFormat="1" applyFont="1" applyFill="1"/>
    <xf numFmtId="1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168" fontId="0" fillId="0" borderId="0" xfId="0" applyNumberFormat="1" applyFill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165" fontId="4" fillId="0" borderId="1" xfId="0" applyNumberFormat="1" applyFont="1" applyFill="1" applyBorder="1"/>
    <xf numFmtId="165" fontId="4" fillId="0" borderId="0" xfId="0" applyNumberFormat="1" applyFont="1" applyFill="1"/>
    <xf numFmtId="169" fontId="0" fillId="0" borderId="0" xfId="0" applyNumberFormat="1" applyFill="1"/>
    <xf numFmtId="167" fontId="0" fillId="0" borderId="0" xfId="0" applyNumberFormat="1" applyFill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5" fontId="4" fillId="0" borderId="2" xfId="0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67" fontId="6" fillId="0" borderId="0" xfId="0" applyNumberFormat="1" applyFont="1" applyFill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39"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65" formatCode="_-[$Rp-421]* #,##0_-;\-[$Rp-421]* #,##0_-;_-[$Rp-421]* &quot;-&quot;??_-;_-@_-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ill>
        <patternFill patternType="none">
          <fgColor indexed="64"/>
          <bgColor auto="1"/>
        </patternFill>
      </fill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double">
          <color theme="6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auto="1"/>
        </patternFill>
      </fill>
    </dxf>
    <dxf>
      <numFmt numFmtId="164" formatCode="_-[$Rp-421]* #,##0.00_-;\-[$Rp-421]* #,##0.00_-;_-[$Rp-421]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numFmt numFmtId="165" formatCode="_-[$Rp-421]* #,##0_-;\-[$Rp-421]* #,##0_-;_-[$Rp-421]* &quot;-&quot;??_-;_-@_-"/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numFmt numFmtId="1" formatCode="0"/>
    </dxf>
    <dxf>
      <numFmt numFmtId="165" formatCode="_-[$Rp-421]* #,##0_-;\-[$Rp-421]* #,##0_-;_-[$Rp-421]* &quot;-&quot;??_-;_-@_-"/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p-421]* #,##0_-;\-[$Rp-421]* #,##0_-;_-[$Rp-421]* &quot;-&quot;??_-;_-@_-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numFmt numFmtId="165" formatCode="_-[$Rp-421]* #,##0_-;\-[$Rp-421]* #,##0_-;_-[$Rp-421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double">
          <color theme="6"/>
        </top>
        <bottom style="thin">
          <color theme="6"/>
        </bottom>
      </border>
    </dxf>
    <dxf>
      <border outline="0">
        <top style="double">
          <color theme="6"/>
        </top>
      </border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numFmt numFmtId="1" formatCode="0"/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65" formatCode="_-[$Rp-421]* #,##0_-;\-[$Rp-421]* #,##0_-;_-[$Rp-421]* &quot;-&quot;??_-;_-@_-"/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numFmt numFmtId="1" formatCode="0"/>
    </dxf>
    <dxf>
      <numFmt numFmtId="165" formatCode="_-[$Rp-421]* #,##0_-;\-[$Rp-421]* #,##0_-;_-[$Rp-421]* &quot;-&quot;??_-;_-@_-"/>
    </dxf>
    <dxf>
      <numFmt numFmtId="165" formatCode="_-[$Rp-421]* #,##0_-;\-[$Rp-421]* #,##0_-;_-[$Rp-421]* &quot;-&quot;??_-;_-@_-"/>
    </dxf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65" formatCode="_-[$Rp-421]* #,##0_-;\-[$Rp-421]* #,##0_-;_-[$Rp-421]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7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7'!$C$4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'BATCH 7'!$B$5:$B$18</c:f>
              <c:strCache>
                <c:ptCount val="14"/>
                <c:pt idx="0">
                  <c:v>DAGING AYAM</c:v>
                </c:pt>
                <c:pt idx="1">
                  <c:v>TEPUNG TAPIOKA</c:v>
                </c:pt>
                <c:pt idx="2">
                  <c:v>DAUN PRE</c:v>
                </c:pt>
                <c:pt idx="3">
                  <c:v>SAWI PUTIH</c:v>
                </c:pt>
                <c:pt idx="4">
                  <c:v>JAHE</c:v>
                </c:pt>
                <c:pt idx="5">
                  <c:v>BAWANG PUTIH</c:v>
                </c:pt>
                <c:pt idx="6">
                  <c:v>MICIN</c:v>
                </c:pt>
                <c:pt idx="7">
                  <c:v>GULA</c:v>
                </c:pt>
                <c:pt idx="8">
                  <c:v>GARAM</c:v>
                </c:pt>
                <c:pt idx="9">
                  <c:v>KALDU JAMUR</c:v>
                </c:pt>
                <c:pt idx="10">
                  <c:v>SAOS TIRAM</c:v>
                </c:pt>
                <c:pt idx="11">
                  <c:v>MINYAK WIJEN</c:v>
                </c:pt>
                <c:pt idx="12">
                  <c:v>AIR/MINYAK</c:v>
                </c:pt>
                <c:pt idx="13">
                  <c:v>TELUR</c:v>
                </c:pt>
              </c:strCache>
            </c:strRef>
          </c:cat>
          <c:val>
            <c:numRef>
              <c:f>'BATCH 7'!$C$5:$C$18</c:f>
              <c:numCache>
                <c:formatCode>General</c:formatCode>
                <c:ptCount val="14"/>
                <c:pt idx="0">
                  <c:v>1025</c:v>
                </c:pt>
                <c:pt idx="1">
                  <c:v>150</c:v>
                </c:pt>
                <c:pt idx="2">
                  <c:v>135</c:v>
                </c:pt>
                <c:pt idx="3">
                  <c:v>400</c:v>
                </c:pt>
                <c:pt idx="5">
                  <c:v>130</c:v>
                </c:pt>
                <c:pt idx="6">
                  <c:v>2</c:v>
                </c:pt>
                <c:pt idx="7">
                  <c:v>15</c:v>
                </c:pt>
                <c:pt idx="8">
                  <c:v>15</c:v>
                </c:pt>
                <c:pt idx="9">
                  <c:v>5</c:v>
                </c:pt>
                <c:pt idx="10">
                  <c:v>24</c:v>
                </c:pt>
                <c:pt idx="11">
                  <c:v>10</c:v>
                </c:pt>
                <c:pt idx="12" formatCode="0">
                  <c:v>180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C-4DD2-933F-39A7D6FDDC26}"/>
            </c:ext>
          </c:extLst>
        </c:ser>
        <c:ser>
          <c:idx val="1"/>
          <c:order val="1"/>
          <c:tx>
            <c:strRef>
              <c:f>'BATCH 7'!$D$4</c:f>
              <c:strCache>
                <c:ptCount val="1"/>
                <c:pt idx="0">
                  <c:v> PERSEN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'BATCH 7'!$B$5:$B$18</c:f>
              <c:strCache>
                <c:ptCount val="14"/>
                <c:pt idx="0">
                  <c:v>DAGING AYAM</c:v>
                </c:pt>
                <c:pt idx="1">
                  <c:v>TEPUNG TAPIOKA</c:v>
                </c:pt>
                <c:pt idx="2">
                  <c:v>DAUN PRE</c:v>
                </c:pt>
                <c:pt idx="3">
                  <c:v>SAWI PUTIH</c:v>
                </c:pt>
                <c:pt idx="4">
                  <c:v>JAHE</c:v>
                </c:pt>
                <c:pt idx="5">
                  <c:v>BAWANG PUTIH</c:v>
                </c:pt>
                <c:pt idx="6">
                  <c:v>MICIN</c:v>
                </c:pt>
                <c:pt idx="7">
                  <c:v>GULA</c:v>
                </c:pt>
                <c:pt idx="8">
                  <c:v>GARAM</c:v>
                </c:pt>
                <c:pt idx="9">
                  <c:v>KALDU JAMUR</c:v>
                </c:pt>
                <c:pt idx="10">
                  <c:v>SAOS TIRAM</c:v>
                </c:pt>
                <c:pt idx="11">
                  <c:v>MINYAK WIJEN</c:v>
                </c:pt>
                <c:pt idx="12">
                  <c:v>AIR/MINYAK</c:v>
                </c:pt>
                <c:pt idx="13">
                  <c:v>TELUR</c:v>
                </c:pt>
              </c:strCache>
            </c:strRef>
          </c:cat>
          <c:val>
            <c:numRef>
              <c:f>'BATCH 7'!$D$5:$D$18</c:f>
              <c:numCache>
                <c:formatCode>0%</c:formatCode>
                <c:ptCount val="14"/>
                <c:pt idx="0">
                  <c:v>0.48996175908221795</c:v>
                </c:pt>
                <c:pt idx="1">
                  <c:v>7.1701720841300193E-2</c:v>
                </c:pt>
                <c:pt idx="2">
                  <c:v>6.4531548757170168E-2</c:v>
                </c:pt>
                <c:pt idx="3">
                  <c:v>0.19120458891013384</c:v>
                </c:pt>
                <c:pt idx="4">
                  <c:v>0</c:v>
                </c:pt>
                <c:pt idx="5">
                  <c:v>6.2141491395793502E-2</c:v>
                </c:pt>
                <c:pt idx="6">
                  <c:v>9.5602294455066918E-4</c:v>
                </c:pt>
                <c:pt idx="7">
                  <c:v>7.1701720841300188E-3</c:v>
                </c:pt>
                <c:pt idx="8">
                  <c:v>7.1701720841300188E-3</c:v>
                </c:pt>
                <c:pt idx="9">
                  <c:v>2.3900573613766731E-3</c:v>
                </c:pt>
                <c:pt idx="10">
                  <c:v>1.1472275334608031E-2</c:v>
                </c:pt>
                <c:pt idx="11">
                  <c:v>4.7801147227533461E-3</c:v>
                </c:pt>
                <c:pt idx="12">
                  <c:v>8.6042065009560229E-2</c:v>
                </c:pt>
                <c:pt idx="13">
                  <c:v>4.7801147227533459E-4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C-4DD2-933F-39A7D6FDDC26}"/>
            </c:ext>
          </c:extLst>
        </c:ser>
        <c:ser>
          <c:idx val="2"/>
          <c:order val="2"/>
          <c:tx>
            <c:strRef>
              <c:f>'BATCH 7'!$E$4</c:f>
              <c:strCache>
                <c:ptCount val="1"/>
                <c:pt idx="0">
                  <c:v> HARGA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'BATCH 7'!$B$5:$B$18</c:f>
              <c:strCache>
                <c:ptCount val="14"/>
                <c:pt idx="0">
                  <c:v>DAGING AYAM</c:v>
                </c:pt>
                <c:pt idx="1">
                  <c:v>TEPUNG TAPIOKA</c:v>
                </c:pt>
                <c:pt idx="2">
                  <c:v>DAUN PRE</c:v>
                </c:pt>
                <c:pt idx="3">
                  <c:v>SAWI PUTIH</c:v>
                </c:pt>
                <c:pt idx="4">
                  <c:v>JAHE</c:v>
                </c:pt>
                <c:pt idx="5">
                  <c:v>BAWANG PUTIH</c:v>
                </c:pt>
                <c:pt idx="6">
                  <c:v>MICIN</c:v>
                </c:pt>
                <c:pt idx="7">
                  <c:v>GULA</c:v>
                </c:pt>
                <c:pt idx="8">
                  <c:v>GARAM</c:v>
                </c:pt>
                <c:pt idx="9">
                  <c:v>KALDU JAMUR</c:v>
                </c:pt>
                <c:pt idx="10">
                  <c:v>SAOS TIRAM</c:v>
                </c:pt>
                <c:pt idx="11">
                  <c:v>MINYAK WIJEN</c:v>
                </c:pt>
                <c:pt idx="12">
                  <c:v>AIR/MINYAK</c:v>
                </c:pt>
                <c:pt idx="13">
                  <c:v>TELUR</c:v>
                </c:pt>
              </c:strCache>
            </c:strRef>
          </c:cat>
          <c:val>
            <c:numRef>
              <c:f>'BATCH 7'!$E$5:$E$18</c:f>
              <c:numCache>
                <c:formatCode>_-[$Rp-421]* #,##0.00_-;\-[$Rp-421]* #,##0.00_-;_-[$Rp-421]* "-"??_-;_-@_-</c:formatCode>
                <c:ptCount val="14"/>
                <c:pt idx="0">
                  <c:v>66.666666666666671</c:v>
                </c:pt>
                <c:pt idx="1">
                  <c:v>32</c:v>
                </c:pt>
                <c:pt idx="2">
                  <c:v>26.666666666666668</c:v>
                </c:pt>
                <c:pt idx="3">
                  <c:v>16.25</c:v>
                </c:pt>
                <c:pt idx="4">
                  <c:v>10</c:v>
                </c:pt>
                <c:pt idx="5" formatCode="_-[$Rp-421]* #,##0_-;\-[$Rp-421]* #,##0_-;_-[$Rp-421]* &quot;-&quot;??_-;_-@_-">
                  <c:v>35</c:v>
                </c:pt>
                <c:pt idx="6">
                  <c:v>54</c:v>
                </c:pt>
                <c:pt idx="7">
                  <c:v>19</c:v>
                </c:pt>
                <c:pt idx="8">
                  <c:v>10</c:v>
                </c:pt>
                <c:pt idx="9">
                  <c:v>162.5</c:v>
                </c:pt>
                <c:pt idx="10">
                  <c:v>665</c:v>
                </c:pt>
                <c:pt idx="11">
                  <c:v>338</c:v>
                </c:pt>
                <c:pt idx="12" formatCode="_-[$Rp-421]* #,##0_-;\-[$Rp-421]* #,##0_-;_-[$Rp-421]* &quot;-&quot;??_-;_-@_-">
                  <c:v>22</c:v>
                </c:pt>
                <c:pt idx="13">
                  <c:v>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1C-4DD2-933F-39A7D6FDDC26}"/>
            </c:ext>
          </c:extLst>
        </c:ser>
        <c:ser>
          <c:idx val="3"/>
          <c:order val="3"/>
          <c:tx>
            <c:strRef>
              <c:f>'BATCH 7'!$F$4</c:f>
              <c:strCache>
                <c:ptCount val="1"/>
                <c:pt idx="0">
                  <c:v> TOTAL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'BATCH 7'!$B$5:$B$18</c:f>
              <c:strCache>
                <c:ptCount val="14"/>
                <c:pt idx="0">
                  <c:v>DAGING AYAM</c:v>
                </c:pt>
                <c:pt idx="1">
                  <c:v>TEPUNG TAPIOKA</c:v>
                </c:pt>
                <c:pt idx="2">
                  <c:v>DAUN PRE</c:v>
                </c:pt>
                <c:pt idx="3">
                  <c:v>SAWI PUTIH</c:v>
                </c:pt>
                <c:pt idx="4">
                  <c:v>JAHE</c:v>
                </c:pt>
                <c:pt idx="5">
                  <c:v>BAWANG PUTIH</c:v>
                </c:pt>
                <c:pt idx="6">
                  <c:v>MICIN</c:v>
                </c:pt>
                <c:pt idx="7">
                  <c:v>GULA</c:v>
                </c:pt>
                <c:pt idx="8">
                  <c:v>GARAM</c:v>
                </c:pt>
                <c:pt idx="9">
                  <c:v>KALDU JAMUR</c:v>
                </c:pt>
                <c:pt idx="10">
                  <c:v>SAOS TIRAM</c:v>
                </c:pt>
                <c:pt idx="11">
                  <c:v>MINYAK WIJEN</c:v>
                </c:pt>
                <c:pt idx="12">
                  <c:v>AIR/MINYAK</c:v>
                </c:pt>
                <c:pt idx="13">
                  <c:v>TELUR</c:v>
                </c:pt>
              </c:strCache>
            </c:strRef>
          </c:cat>
          <c:val>
            <c:numRef>
              <c:f>'BATCH 7'!$F$5:$F$18</c:f>
              <c:numCache>
                <c:formatCode>_-[$Rp-421]* #,##0_-;\-[$Rp-421]* #,##0_-;_-[$Rp-421]* "-"??_-;_-@_-</c:formatCode>
                <c:ptCount val="14"/>
                <c:pt idx="0">
                  <c:v>78333.333333333343</c:v>
                </c:pt>
                <c:pt idx="1">
                  <c:v>4800</c:v>
                </c:pt>
                <c:pt idx="2">
                  <c:v>3600</c:v>
                </c:pt>
                <c:pt idx="3">
                  <c:v>6500</c:v>
                </c:pt>
                <c:pt idx="4">
                  <c:v>0</c:v>
                </c:pt>
                <c:pt idx="5">
                  <c:v>4550</c:v>
                </c:pt>
                <c:pt idx="6">
                  <c:v>108</c:v>
                </c:pt>
                <c:pt idx="7">
                  <c:v>285</c:v>
                </c:pt>
                <c:pt idx="8">
                  <c:v>150</c:v>
                </c:pt>
                <c:pt idx="9">
                  <c:v>812.5</c:v>
                </c:pt>
                <c:pt idx="10">
                  <c:v>15960</c:v>
                </c:pt>
                <c:pt idx="11">
                  <c:v>3380</c:v>
                </c:pt>
                <c:pt idx="12">
                  <c:v>3960</c:v>
                </c:pt>
                <c:pt idx="13">
                  <c:v>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1C-4DD2-933F-39A7D6FD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214016"/>
        <c:axId val="1425211616"/>
      </c:barChart>
      <c:catAx>
        <c:axId val="14252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11616"/>
        <c:crosses val="autoZero"/>
        <c:auto val="1"/>
        <c:lblAlgn val="ctr"/>
        <c:lblOffset val="100"/>
        <c:noMultiLvlLbl val="0"/>
      </c:catAx>
      <c:valAx>
        <c:axId val="14252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1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DC0193-5B13-48A1-9667-A8E87DBB8D44}">
  <sheetPr/>
  <sheetViews>
    <sheetView zoomScale="1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208359</xdr:colOff>
      <xdr:row>1</xdr:row>
      <xdr:rowOff>74415</xdr:rowOff>
    </xdr:from>
    <xdr:to>
      <xdr:col>22</xdr:col>
      <xdr:colOff>9141</xdr:colOff>
      <xdr:row>39</xdr:row>
      <xdr:rowOff>125173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E8217-FBA3-ACD0-16A7-30BB11A76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7539" y="267892"/>
          <a:ext cx="5902735" cy="7611226"/>
        </a:xfrm>
        <a:prstGeom prst="rect">
          <a:avLst/>
        </a:prstGeom>
      </xdr:spPr>
    </xdr:pic>
    <xdr:clientData/>
  </xdr:twoCellAnchor>
  <xdr:twoCellAnchor editAs="oneCell">
    <xdr:from>
      <xdr:col>22</xdr:col>
      <xdr:colOff>89296</xdr:colOff>
      <xdr:row>1</xdr:row>
      <xdr:rowOff>84310</xdr:rowOff>
    </xdr:from>
    <xdr:to>
      <xdr:col>34</xdr:col>
      <xdr:colOff>457074</xdr:colOff>
      <xdr:row>29</xdr:row>
      <xdr:rowOff>160099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2808EA-0DB7-6331-F775-1B59113E9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72301" y="276784"/>
          <a:ext cx="7711405" cy="5682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433255</xdr:colOff>
      <xdr:row>1</xdr:row>
      <xdr:rowOff>153790</xdr:rowOff>
    </xdr:from>
    <xdr:to>
      <xdr:col>26</xdr:col>
      <xdr:colOff>234037</xdr:colOff>
      <xdr:row>40</xdr:row>
      <xdr:rowOff>174352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76023-8A19-4A10-B87D-645112509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8776" y="338998"/>
          <a:ext cx="5886199" cy="75215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102526</xdr:colOff>
      <xdr:row>1</xdr:row>
      <xdr:rowOff>163685</xdr:rowOff>
    </xdr:from>
    <xdr:to>
      <xdr:col>39</xdr:col>
      <xdr:colOff>470305</xdr:colOff>
      <xdr:row>31</xdr:row>
      <xdr:rowOff>51090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E49B53-2D4E-4961-8EF1-1C25A3CCF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2005" y="348893"/>
          <a:ext cx="7670279" cy="5695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433255</xdr:colOff>
      <xdr:row>1</xdr:row>
      <xdr:rowOff>153790</xdr:rowOff>
    </xdr:from>
    <xdr:to>
      <xdr:col>26</xdr:col>
      <xdr:colOff>234037</xdr:colOff>
      <xdr:row>42</xdr:row>
      <xdr:rowOff>18742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3EF493-5ECA-4B99-964F-3F3158C6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87755" y="344290"/>
          <a:ext cx="5896782" cy="7707237"/>
        </a:xfrm>
        <a:prstGeom prst="rect">
          <a:avLst/>
        </a:prstGeom>
      </xdr:spPr>
    </xdr:pic>
    <xdr:clientData/>
  </xdr:twoCellAnchor>
  <xdr:twoCellAnchor editAs="oneCell">
    <xdr:from>
      <xdr:col>27</xdr:col>
      <xdr:colOff>102526</xdr:colOff>
      <xdr:row>1</xdr:row>
      <xdr:rowOff>163685</xdr:rowOff>
    </xdr:from>
    <xdr:to>
      <xdr:col>39</xdr:col>
      <xdr:colOff>470305</xdr:colOff>
      <xdr:row>32</xdr:row>
      <xdr:rowOff>92849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7DDBE7-4E44-4700-8336-CEDC1766A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62626" y="354185"/>
          <a:ext cx="7682979" cy="5840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433255</xdr:colOff>
      <xdr:row>1</xdr:row>
      <xdr:rowOff>153790</xdr:rowOff>
    </xdr:from>
    <xdr:to>
      <xdr:col>26</xdr:col>
      <xdr:colOff>234036</xdr:colOff>
      <xdr:row>43</xdr:row>
      <xdr:rowOff>115542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4B8C8-5253-41B2-B980-C2BFE776D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87755" y="344290"/>
          <a:ext cx="5896782" cy="7951677"/>
        </a:xfrm>
        <a:prstGeom prst="rect">
          <a:avLst/>
        </a:prstGeom>
      </xdr:spPr>
    </xdr:pic>
    <xdr:clientData/>
  </xdr:twoCellAnchor>
  <xdr:twoCellAnchor editAs="oneCell">
    <xdr:from>
      <xdr:col>27</xdr:col>
      <xdr:colOff>102526</xdr:colOff>
      <xdr:row>1</xdr:row>
      <xdr:rowOff>163685</xdr:rowOff>
    </xdr:from>
    <xdr:to>
      <xdr:col>39</xdr:col>
      <xdr:colOff>470305</xdr:colOff>
      <xdr:row>33</xdr:row>
      <xdr:rowOff>129398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43F6F-2034-42C6-B149-2A4285223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62626" y="354185"/>
          <a:ext cx="7682979" cy="60727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02373-0B7D-F93A-CFA2-DC7EBF0888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433255</xdr:colOff>
      <xdr:row>1</xdr:row>
      <xdr:rowOff>153790</xdr:rowOff>
    </xdr:from>
    <xdr:to>
      <xdr:col>26</xdr:col>
      <xdr:colOff>234036</xdr:colOff>
      <xdr:row>46</xdr:row>
      <xdr:rowOff>229842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1F55B-F0EA-4380-B376-5E8155870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0205" y="344290"/>
          <a:ext cx="5896781" cy="8496152"/>
        </a:xfrm>
        <a:prstGeom prst="rect">
          <a:avLst/>
        </a:prstGeom>
      </xdr:spPr>
    </xdr:pic>
    <xdr:clientData/>
  </xdr:twoCellAnchor>
  <xdr:twoCellAnchor editAs="oneCell">
    <xdr:from>
      <xdr:col>27</xdr:col>
      <xdr:colOff>102526</xdr:colOff>
      <xdr:row>1</xdr:row>
      <xdr:rowOff>163685</xdr:rowOff>
    </xdr:from>
    <xdr:to>
      <xdr:col>39</xdr:col>
      <xdr:colOff>470305</xdr:colOff>
      <xdr:row>37</xdr:row>
      <xdr:rowOff>15098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595C42-9240-41FA-8A26-8CE670EA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15076" y="354185"/>
          <a:ext cx="7682979" cy="65570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94A153-56C8-48C4-B491-14FBC6AB96D3}" name="Table2123" displayName="Table2123" ref="A4:I16" headerRowDxfId="238" dataDxfId="237">
  <autoFilter ref="A4:I16" xr:uid="{1B94A153-56C8-48C4-B491-14FBC6AB96D3}"/>
  <sortState xmlns:xlrd2="http://schemas.microsoft.com/office/spreadsheetml/2017/richdata2" ref="A5:I15">
    <sortCondition ref="A4:A15"/>
  </sortState>
  <tableColumns count="9">
    <tableColumn id="1" xr3:uid="{C4A5E0FC-707D-40A1-A3A3-C14D2D6D3509}" name="TANGGAL" totalsRowLabel="Total" dataDxfId="236" totalsRowDxfId="5"/>
    <tableColumn id="2" xr3:uid="{E90DA223-1DD1-48DD-A3D9-5553F41CC574}" name="BATCH" dataDxfId="235" totalsRowDxfId="6"/>
    <tableColumn id="3" xr3:uid="{856F70F3-15C8-4644-8E22-4476E3F7A7FB}" name="TIPE" dataDxfId="234" totalsRowDxfId="7" dataCellStyle="Percent"/>
    <tableColumn id="4" xr3:uid="{5F653C38-3C1F-4B1B-994C-151F7339CC2F}" name="ITEM" dataDxfId="233" totalsRowDxfId="8" dataCellStyle="Percent"/>
    <tableColumn id="5" xr3:uid="{52296603-E66F-47AB-BCBD-412ADF63E788}" name="MASAK" dataDxfId="232" totalsRowDxfId="9"/>
    <tableColumn id="6" xr3:uid="{EEF4CFE7-2892-43B2-BCF0-941A2AAE8BB8}" name="METODE" dataDxfId="231" totalsRowDxfId="10"/>
    <tableColumn id="7" xr3:uid="{268CD9E4-AE3D-44D1-9CEC-F3703C4C57A4}" name="QUANTITY" totalsRowFunction="sum" dataDxfId="230" totalsRowDxfId="11"/>
    <tableColumn id="8" xr3:uid="{222C0800-00AF-4446-BA90-5AD61BBD2FBF}" name="HARGA" dataDxfId="229" totalsRowDxfId="12"/>
    <tableColumn id="9" xr3:uid="{3797AC9C-842D-435F-A993-D8793FDCAFBC}" name="TOTAL" totalsRowFunction="sum" dataDxfId="228" totalsRowDxfId="13">
      <calculatedColumnFormula>Table2123[[#This Row],[HARGA]]*Table2123[[#This Row],[QUANTITY]]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2B728-F03C-442C-B807-8D2BB4B46281}" name="Table1" displayName="Table1" ref="B4:F18" totalsRowCount="1">
  <autoFilter ref="B4:F17" xr:uid="{2D02B728-F03C-442C-B807-8D2BB4B46281}"/>
  <tableColumns count="5">
    <tableColumn id="1" xr3:uid="{B1EF4C63-EBA8-4A41-B1E4-56656819680D}" name="BAHAN" totalsRowLabel="Total"/>
    <tableColumn id="2" xr3:uid="{80F29A56-4365-4C82-9092-801F0CF1BADF}" name="QUANTITY" totalsRowFunction="sum"/>
    <tableColumn id="3" xr3:uid="{C91F8CB1-EF13-4C73-8BF2-DEB211AEF75B}" name="PERSEN" totalsRowFunction="sum" dataDxfId="227" totalsRowDxfId="226" dataCellStyle="Percent">
      <calculatedColumnFormula>Table1[[#This Row],[QUANTITY]]/Table1[[#Totals],[QUANTITY]]</calculatedColumnFormula>
    </tableColumn>
    <tableColumn id="4" xr3:uid="{AF8F610C-5C9B-418D-96B9-6C93C675AEF1}" name="HARGA" totalsRowFunction="sum" dataDxfId="225" totalsRowDxfId="224"/>
    <tableColumn id="5" xr3:uid="{9AEF729A-9531-4388-AD00-493ABC396312}" name="TOTAL" totalsRowFunction="sum" dataDxfId="223" totalsRowDxfId="222">
      <calculatedColumnFormula>E5*C5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3D1C7A-5B61-4D89-9521-7D326DD7F77B}" name="Table2" displayName="Table2" ref="B24:E27" totalsRowCount="1">
  <autoFilter ref="B24:E26" xr:uid="{863D1C7A-5B61-4D89-9521-7D326DD7F77B}"/>
  <tableColumns count="4">
    <tableColumn id="1" xr3:uid="{95B9142F-8D80-485B-B65F-47187EEE7B5A}" name="BAHAN" totalsRowLabel="Total"/>
    <tableColumn id="2" xr3:uid="{F6BDBCE7-4650-4EFE-A496-AF7003B8700B}" name="QUANTITY" dataDxfId="221"/>
    <tableColumn id="3" xr3:uid="{37022362-9C7B-4322-8A88-329F1294E277}" name="HARGA" dataDxfId="220">
      <calculatedColumnFormula>Table1[[#Totals],[TOTAL]]/C25</calculatedColumnFormula>
    </tableColumn>
    <tableColumn id="4" xr3:uid="{C6C75E36-4CA4-4E95-BDE2-6FAA277E60E8}" name="TOTAL" totalsRowFunction="sum" dataDxfId="219" totalsRowDxfId="218">
      <calculatedColumnFormula>C25*D25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CEE6DA-27B8-4F6E-9C67-B0275F2E4BB0}" name="Table14" displayName="Table14" ref="B4:F19" totalsRowCount="1">
  <autoFilter ref="B4:F18" xr:uid="{43CEE6DA-27B8-4F6E-9C67-B0275F2E4BB0}"/>
  <tableColumns count="5">
    <tableColumn id="1" xr3:uid="{6EBF4C6B-6EFE-4FEB-A659-1332605AD354}" name="BAHAN" totalsRowLabel="Total"/>
    <tableColumn id="2" xr3:uid="{97EB657E-CFEA-4770-A977-C5DD66ABF945}" name="QUANTITY" totalsRowFunction="sum"/>
    <tableColumn id="3" xr3:uid="{BFA28251-6757-4813-B6F1-E7769473D52C}" name="PERSEN" totalsRowFunction="sum" dataDxfId="217" totalsRowDxfId="22" dataCellStyle="Percent">
      <calculatedColumnFormula>Table14[[#This Row],[QUANTITY]]/Table14[[#Totals],[QUANTITY]]</calculatedColumnFormula>
    </tableColumn>
    <tableColumn id="4" xr3:uid="{5AF71FAA-5211-4A16-907C-E13BCA4546A9}" name="HARGA" totalsRowFunction="sum" dataDxfId="216" totalsRowDxfId="21"/>
    <tableColumn id="5" xr3:uid="{3D21AAC9-CBBB-4AE3-A651-E460E571EC87}" name="TOTAL" totalsRowFunction="sum" dataDxfId="215" totalsRowDxfId="20">
      <calculatedColumnFormula>E5*C5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E889B-823A-4886-A37F-EDE46A6EDA3B}" name="Table25" displayName="Table25" ref="B24:E27" totalsRowCount="1">
  <autoFilter ref="B24:E26" xr:uid="{F1DE889B-823A-4886-A37F-EDE46A6EDA3B}"/>
  <tableColumns count="4">
    <tableColumn id="1" xr3:uid="{1204409C-943D-45C1-80A4-42FD1D1B1D8E}" name="BAHAN" totalsRowLabel="TOTAL KOTOR"/>
    <tableColumn id="2" xr3:uid="{BD062A57-F263-4BCF-ACFB-5A5B9BFA8400}" name="QUANTITY" dataDxfId="214"/>
    <tableColumn id="3" xr3:uid="{D4856F54-A281-4E72-A2E1-2B99FBA93ED0}" name="HARGA" dataDxfId="213">
      <calculatedColumnFormula>I4</calculatedColumnFormula>
    </tableColumn>
    <tableColumn id="4" xr3:uid="{DCC9CCF4-7183-4D68-9FE4-600673148D3A}" name="TOTAL" totalsRowFunction="sum" dataDxfId="212" totalsRowDxfId="23">
      <calculatedColumnFormula>C25*D25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685588-7537-4D19-90EA-EC100ED75B60}" name="Table5" displayName="Table5" ref="H22:J27" totalsRowCount="1" totalsRowBorderDxfId="211">
  <autoFilter ref="H22:J26" xr:uid="{74685588-7537-4D19-90EA-EC100ED75B60}"/>
  <tableColumns count="3">
    <tableColumn id="1" xr3:uid="{DF6527BD-E5DA-4459-B415-4B849597E816}" name="NAMA BARANG" totalsRowLabel="Total" totalsRowDxfId="210"/>
    <tableColumn id="2" xr3:uid="{90FA36C3-E99D-44EF-99CB-819CBF8F414C}" name="QUANTITY" totalsRowDxfId="209"/>
    <tableColumn id="3" xr3:uid="{F85BF098-9DAE-4648-BA3B-118F7D5919C8}" name="HARGA" totalsRowFunction="sum" dataDxfId="208" totalsRowDxfId="207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BA6A82-6644-4B07-B510-9002D4969876}" name="Table57" displayName="Table57" ref="H35:J39" totalsRowBorderDxfId="206">
  <autoFilter ref="H35:J39" xr:uid="{5EBA6A82-6644-4B07-B510-9002D4969876}"/>
  <tableColumns count="3">
    <tableColumn id="1" xr3:uid="{E67DABDC-90DE-44E9-9E57-80967A1A2303}" name="NAMA BARANG" totalsRowLabel="Total" totalsRowDxfId="205"/>
    <tableColumn id="2" xr3:uid="{1B943E39-22E6-41B9-A521-BCE52ABE67A8}" name="QUANTITY" totalsRowDxfId="204"/>
    <tableColumn id="3" xr3:uid="{9413E509-55B1-4D60-9B8F-85DD1347EC9F}" name="HARGA" totalsRowFunction="sum" dataDxfId="203" totalsRowDxfId="202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693D47-C7E9-448B-82DC-4D744B116039}" name="Table59" displayName="Table59" ref="L22:N27" totalsRowCount="1" totalsRowBorderDxfId="201">
  <autoFilter ref="L22:N26" xr:uid="{F7693D47-C7E9-448B-82DC-4D744B116039}"/>
  <tableColumns count="3">
    <tableColumn id="1" xr3:uid="{2A477EB4-CF21-4501-92FC-F61EC0922DE7}" name="NAMA BARANG" totalsRowLabel="Total" totalsRowDxfId="200"/>
    <tableColumn id="2" xr3:uid="{A506ED9C-8E60-41AD-9B79-F924C086CF46}" name="QUANTITY" totalsRowDxfId="199"/>
    <tableColumn id="3" xr3:uid="{EF381DFF-A2C7-4C6F-B2C4-2C3E39C184F5}" name="HARGA" totalsRowFunction="sum" dataDxfId="198" totalsRowDxfId="197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F71DD2B-1542-4BAA-B669-DB997256E804}" name="Table3540" displayName="Table3540" ref="H2:L6" totalsRowShown="0" headerRowDxfId="28">
  <autoFilter ref="H2:L6" xr:uid="{CF71DD2B-1542-4BAA-B669-DB997256E804}"/>
  <tableColumns count="5">
    <tableColumn id="1" xr3:uid="{F79D5193-A893-401E-97E8-295B6563EC0C}" name="BARANG"/>
    <tableColumn id="2" xr3:uid="{BA30C975-FF64-4126-B48B-A9B95F0D1FE5}" name="QUANTITY" dataDxfId="27"/>
    <tableColumn id="3" xr3:uid="{AF5CDB70-AB92-441C-9C37-3A19584EB9BE}" name="HARGA" dataDxfId="26"/>
    <tableColumn id="4" xr3:uid="{C7307632-C4B3-4AE1-B94D-3DF032B019B1}" name="YIELD" dataDxfId="25" dataCellStyle="Percent"/>
    <tableColumn id="5" xr3:uid="{E5C54B3B-46DF-4297-8AD1-62E29E3D90B8}" name="HARGA EFEKTIF" dataDxfId="24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5A12BB-724E-4487-9C35-72BE12528B62}" name="Table148" displayName="Table148" ref="B4:F19" totalsRowCount="1">
  <autoFilter ref="B4:F18" xr:uid="{F85A12BB-724E-4487-9C35-72BE12528B62}"/>
  <tableColumns count="5">
    <tableColumn id="1" xr3:uid="{36304E5B-4AA9-470B-B938-833658F69FB4}" name="BAHAN" totalsRowLabel="Total"/>
    <tableColumn id="2" xr3:uid="{67C2555B-15E7-4B5B-A7D1-D379E23D1D61}" name="QUANTITY" totalsRowFunction="sum"/>
    <tableColumn id="3" xr3:uid="{D2545CDD-8E97-46B0-A134-63A737E5B11F}" name="PERSEN" totalsRowFunction="sum" dataDxfId="196" totalsRowDxfId="195" dataCellStyle="Percent">
      <calculatedColumnFormula>Table148[[#This Row],[QUANTITY]]/Table148[[#Totals],[QUANTITY]]</calculatedColumnFormula>
    </tableColumn>
    <tableColumn id="4" xr3:uid="{F2A4A029-01D9-4062-B4D9-BF9824A40CE2}" name="HARGA" totalsRowFunction="sum" dataDxfId="194" totalsRowDxfId="193"/>
    <tableColumn id="5" xr3:uid="{7C5EA8C9-B887-4CA7-BC5B-A4234AAC538F}" name="TOTAL" totalsRowFunction="sum" dataDxfId="192" totalsRowDxfId="191">
      <calculatedColumnFormula>E5*C5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47C21D-42A2-4A4C-B0F0-C50DA1A5A547}" name="Table2510" displayName="Table2510" ref="B24:E27" totalsRowCount="1">
  <autoFilter ref="B24:E26" xr:uid="{D347C21D-42A2-4A4C-B0F0-C50DA1A5A547}"/>
  <tableColumns count="4">
    <tableColumn id="1" xr3:uid="{88CAF1D0-34BC-4AF7-B162-528D7C14F59E}" name="BAHAN" totalsRowLabel="TOTAL KOTOR"/>
    <tableColumn id="2" xr3:uid="{D2121F3F-DA9D-4ECD-96BD-FD62FEBFE41A}" name="QUANTITY" dataDxfId="190"/>
    <tableColumn id="3" xr3:uid="{9C2F5792-EFC4-41AA-9F05-8B99C6459603}" name="HARGA" dataDxfId="189">
      <calculatedColumnFormula>I4</calculatedColumnFormula>
    </tableColumn>
    <tableColumn id="4" xr3:uid="{A46F5D7C-CB3D-4A0F-8849-766BFEDD1B95}" name="TOTAL" totalsRowFunction="sum" dataDxfId="188" totalsRowDxfId="187">
      <calculatedColumnFormula>C25*D25</calculatedColumnFormula>
    </tableColumn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0B4597-B929-4B19-A80A-D4244317B299}" name="Table511" displayName="Table511" ref="H22:J28" totalsRowCount="1" totalsRowBorderDxfId="186">
  <autoFilter ref="H22:J27" xr:uid="{EC0B4597-B929-4B19-A80A-D4244317B299}"/>
  <tableColumns count="3">
    <tableColumn id="1" xr3:uid="{354985A9-C502-428D-A4EA-98AB0B339DFF}" name="NAMA BARANG" totalsRowLabel="Total" totalsRowDxfId="185"/>
    <tableColumn id="2" xr3:uid="{3048591D-1BD1-46CF-813E-FF0EFA421752}" name="QUANTITY" totalsRowDxfId="184"/>
    <tableColumn id="3" xr3:uid="{4CA1260A-4D58-4707-894A-F2D405BDEE40}" name="HARGA" totalsRowFunction="sum" dataDxfId="183" totalsRowDxfId="182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7B11F6-53DB-41FD-BDC2-92867A0B2323}" name="Table5712" displayName="Table5712" ref="H37:J42" totalsRowCount="1" totalsRowBorderDxfId="181">
  <autoFilter ref="H37:J41" xr:uid="{147B11F6-53DB-41FD-BDC2-92867A0B2323}"/>
  <tableColumns count="3">
    <tableColumn id="1" xr3:uid="{9F8C5EC3-C4C5-4B67-9E7B-44CB722CD6C9}" name="NAMA BARANG" totalsRowLabel="Total" totalsRowDxfId="180"/>
    <tableColumn id="2" xr3:uid="{F7BC8135-6DDB-4E91-8A61-C3C96A471A30}" name="QUANTITY" totalsRowDxfId="179"/>
    <tableColumn id="3" xr3:uid="{AFA45965-F469-442F-B4F3-CAC9923C5E3F}" name="HARGA" totalsRowFunction="sum" dataDxfId="178" totalsRowDxfId="177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82CBDD-52E7-40B6-A087-3A06DBA36A72}" name="Table5913" displayName="Table5913" ref="L22:N28" totalsRowCount="1" totalsRowBorderDxfId="176">
  <autoFilter ref="L22:N27" xr:uid="{5682CBDD-52E7-40B6-A087-3A06DBA36A72}"/>
  <tableColumns count="3">
    <tableColumn id="1" xr3:uid="{04834DAC-93AB-458E-A9B3-FBD252D83E83}" name="NAMA BARANG" totalsRowLabel="Total" totalsRowDxfId="175"/>
    <tableColumn id="2" xr3:uid="{8CA8F96A-EC0C-47B4-8E8C-60602A65558E}" name="QUANTITY" totalsRowDxfId="174"/>
    <tableColumn id="3" xr3:uid="{79AFDEF3-AA77-46B0-9690-3E9C564F5060}" name="HARGA" totalsRowFunction="sum" dataDxfId="173" totalsRowDxfId="172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5AB3417-E402-4227-863D-23FF206813DF}" name="Table3539" displayName="Table3539" ref="H2:L6" totalsRowShown="0" headerRowDxfId="33">
  <autoFilter ref="H2:L6" xr:uid="{25AB3417-E402-4227-863D-23FF206813DF}"/>
  <tableColumns count="5">
    <tableColumn id="1" xr3:uid="{7AB3771A-2D6A-47C0-B7F4-C6113C2C8529}" name="BARANG"/>
    <tableColumn id="2" xr3:uid="{15A4AAA2-ED79-4C1E-BFA6-15015BBF3F2B}" name="QUANTITY" dataDxfId="32"/>
    <tableColumn id="3" xr3:uid="{FCD3058F-DD01-42FC-B511-3AF0B779B097}" name="HARGA" dataDxfId="31"/>
    <tableColumn id="4" xr3:uid="{AE8680F2-FEDB-4ABD-8790-F2D0673A1F44}" name="YIELD" dataDxfId="30" dataCellStyle="Percent"/>
    <tableColumn id="5" xr3:uid="{FB96BD0D-BD8F-4DA4-A731-F7FCF7382CD5}" name="HARGA EFEKTIF" dataDxfId="29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7FB9DB-98F2-43E5-BEE8-7670BDB7B26C}" name="Table14814" displayName="Table14814" ref="B4:F19" totalsRowCount="1" headerRowDxfId="171" dataDxfId="170" totalsRowDxfId="169">
  <autoFilter ref="B4:F18" xr:uid="{007FB9DB-98F2-43E5-BEE8-7670BDB7B26C}"/>
  <tableColumns count="5">
    <tableColumn id="1" xr3:uid="{F6AC1017-9335-446F-B669-D3555D113BC4}" name="BAHAN" totalsRowLabel="Total" dataDxfId="168" totalsRowDxfId="167"/>
    <tableColumn id="2" xr3:uid="{F2EF12F0-3105-4231-A793-2B4AEA03E171}" name="QUANTITY" totalsRowFunction="sum" dataDxfId="166" totalsRowDxfId="165"/>
    <tableColumn id="3" xr3:uid="{61CFB061-CBD0-4B21-8BD8-B52424D1D785}" name="PERSEN" totalsRowFunction="sum" dataDxfId="164" totalsRowDxfId="163" dataCellStyle="Percent">
      <calculatedColumnFormula>Table14814[[#This Row],[QUANTITY]]/Table14814[[#Totals],[QUANTITY]]</calculatedColumnFormula>
    </tableColumn>
    <tableColumn id="4" xr3:uid="{69BB4527-7000-4470-9256-3B8C9DF1FB96}" name="HARGA" totalsRowFunction="sum" dataDxfId="162" totalsRowDxfId="161"/>
    <tableColumn id="5" xr3:uid="{517E92AF-6203-4AE9-8BDA-3327EE6A79F0}" name="TOTAL" totalsRowFunction="sum" dataDxfId="160" totalsRowDxfId="159">
      <calculatedColumnFormula>E5*C5</calculatedColumnFormula>
    </tableColumn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3E267F2-A2D6-408E-B8EA-B07D3EA80F36}" name="Table251015" displayName="Table251015" ref="B33:E37" totalsRowCount="1" headerRowDxfId="158" dataDxfId="157" totalsRowDxfId="156">
  <autoFilter ref="B33:E36" xr:uid="{53E267F2-A2D6-408E-B8EA-B07D3EA80F36}"/>
  <tableColumns count="4">
    <tableColumn id="1" xr3:uid="{86C5CF52-4F48-4FB9-9FAA-D65B0CBC78E6}" name="BAHAN" totalsRowLabel="TOTAL KOTOR" dataDxfId="155" totalsRowDxfId="154"/>
    <tableColumn id="2" xr3:uid="{C4AFC9AA-7BCE-4A7A-9CD4-FDC264AB27D5}" name="QUANTITY" dataDxfId="153" totalsRowDxfId="152"/>
    <tableColumn id="3" xr3:uid="{4FBFD4E3-01D8-4134-A078-D515A297E889}" name="HARGA" dataDxfId="151" totalsRowDxfId="150">
      <calculatedColumnFormula>I4</calculatedColumnFormula>
    </tableColumn>
    <tableColumn id="4" xr3:uid="{67403ADB-1409-48B0-A0CD-A19D77E4D48C}" name="TOTAL" totalsRowFunction="sum" dataDxfId="149" totalsRowDxfId="148">
      <calculatedColumnFormula>C34*D34</calculatedColumnFormula>
    </tableColumn>
  </tableColumns>
  <tableStyleInfo name="TableStyleMedium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513C97-6AA9-4CBB-A4D5-41FB1DCB85A6}" name="Table51116" displayName="Table51116" ref="H22:J28" totalsRowCount="1" headerRowDxfId="147" dataDxfId="146" totalsRowDxfId="145" totalsRowBorderDxfId="144">
  <autoFilter ref="H22:J27" xr:uid="{D6513C97-6AA9-4CBB-A4D5-41FB1DCB85A6}"/>
  <tableColumns count="3">
    <tableColumn id="1" xr3:uid="{121F6CCC-BA5E-466F-9271-12687C3D9966}" name="NAMA BARANG" totalsRowLabel="Total" dataDxfId="19" totalsRowDxfId="18"/>
    <tableColumn id="2" xr3:uid="{F89BF367-38FB-4793-869D-02639F1AA484}" name="QUANTITY" dataDxfId="17" totalsRowDxfId="16"/>
    <tableColumn id="3" xr3:uid="{828F8C27-6DC0-4F32-88FC-9E91D98C34E3}" name="HARGA" totalsRowFunction="sum" dataDxfId="15" totalsRowDxfId="14"/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417233-CEAB-4850-9A31-7026CA2DB5F0}" name="Table571217" displayName="Table571217" ref="H37:J42" totalsRowCount="1" headerRowDxfId="143" dataDxfId="142" totalsRowDxfId="141" totalsRowBorderDxfId="140">
  <autoFilter ref="H37:J41" xr:uid="{AB417233-CEAB-4850-9A31-7026CA2DB5F0}"/>
  <tableColumns count="3">
    <tableColumn id="1" xr3:uid="{CE92DEA6-EB0E-4635-A1AD-769E65E67EF1}" name="NAMA BARANG" totalsRowLabel="Total" dataDxfId="139" totalsRowDxfId="138"/>
    <tableColumn id="2" xr3:uid="{43EC6E4F-B356-439D-A7DF-85B38D59E8DB}" name="QUANTITY" dataDxfId="137" totalsRowDxfId="136"/>
    <tableColumn id="3" xr3:uid="{1755F4A8-A099-45CA-A0D1-0A615A79B955}" name="HARGA" totalsRowFunction="sum" dataDxfId="135" totalsRowDxfId="134"/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CB2D9E-3C6F-4657-861D-B6D4593658B0}" name="Table591318" displayName="Table591318" ref="L22:N28" totalsRowCount="1" headerRowDxfId="133" dataDxfId="132" totalsRowDxfId="131" totalsRowBorderDxfId="130">
  <autoFilter ref="L22:N27" xr:uid="{EACB2D9E-3C6F-4657-861D-B6D4593658B0}"/>
  <tableColumns count="3">
    <tableColumn id="1" xr3:uid="{9350B745-6385-4192-87C9-B19AF5DE62FF}" name="NAMA BARANG" totalsRowLabel="Total" dataDxfId="129" totalsRowDxfId="128"/>
    <tableColumn id="2" xr3:uid="{15F1C776-8C6D-4427-A680-3E0F7B561061}" name="QUANTITY" dataDxfId="127" totalsRowDxfId="126"/>
    <tableColumn id="3" xr3:uid="{AA902015-FF1C-4E7D-BB03-9CF5F8C97FD4}" name="HARGA" totalsRowFunction="sum" dataDxfId="125" totalsRowDxfId="124"/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AB11F4A-C05A-472B-9DA7-025BA567F5DD}" name="Table25101519" displayName="Table25101519" ref="B23:E27" totalsRowCount="1" headerRowDxfId="123" dataDxfId="122" totalsRowDxfId="121">
  <autoFilter ref="B23:E26" xr:uid="{9AB11F4A-C05A-472B-9DA7-025BA567F5DD}"/>
  <tableColumns count="4">
    <tableColumn id="1" xr3:uid="{1E5446B1-1CC0-418E-811E-5F7F704AAC5C}" name="BAHAN" totalsRowLabel="TOTAL KOTOR" dataDxfId="120" totalsRowDxfId="119"/>
    <tableColumn id="2" xr3:uid="{83477E34-E6F8-47E5-94C4-662E4DB0BC70}" name="QUANTITY" dataDxfId="118" totalsRowDxfId="117"/>
    <tableColumn id="3" xr3:uid="{2A4FAA91-2AE9-4130-8C28-850A583E0D8E}" name="HARGA" dataDxfId="116" totalsRowDxfId="115">
      <calculatedColumnFormula>#REF!</calculatedColumnFormula>
    </tableColumn>
    <tableColumn id="4" xr3:uid="{851D3EFF-23EA-46F0-BD22-680043B32362}" name="TOTAL" totalsRowFunction="sum" dataDxfId="114" totalsRowDxfId="113">
      <calculatedColumnFormula>C24*D24</calculatedColumnFormula>
    </tableColumn>
  </tableColumns>
  <tableStyleInfo name="TableStyleMedium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D6C4CA-C0D6-471B-B64E-C333445112CE}" name="Table57121720" displayName="Table57121720" ref="L37:N42" totalsRowCount="1" headerRowDxfId="112" dataDxfId="111" totalsRowDxfId="110" totalsRowBorderDxfId="109">
  <autoFilter ref="L37:N41" xr:uid="{34D6C4CA-C0D6-471B-B64E-C333445112CE}"/>
  <tableColumns count="3">
    <tableColumn id="1" xr3:uid="{E5B25A65-AB65-4745-8205-2A033B70FD51}" name="NAMA BARANG" totalsRowLabel="Total" dataDxfId="108" totalsRowDxfId="107"/>
    <tableColumn id="2" xr3:uid="{A13EA376-000F-4F02-9E0C-45BB9C1CFB09}" name="QUANTITY" dataDxfId="106" totalsRowDxfId="105"/>
    <tableColumn id="3" xr3:uid="{D7862D90-E12F-4656-9908-D0DCBCE7E3D4}" name="HARGA" totalsRowFunction="sum" dataDxfId="104" totalsRowDxfId="103"/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FCDC50F-0DB0-4F55-8ABA-EE97BAC42E35}" name="Table3538" displayName="Table3538" ref="H2:L6" totalsRowShown="0" headerRowDxfId="38">
  <autoFilter ref="H2:L6" xr:uid="{9FCDC50F-0DB0-4F55-8ABA-EE97BAC42E35}"/>
  <tableColumns count="5">
    <tableColumn id="1" xr3:uid="{0EB38D98-49A4-4D2B-B187-ED4E66D5BF61}" name="BARANG"/>
    <tableColumn id="2" xr3:uid="{88C4AD4F-C7E7-47D5-8439-B499FD5CB294}" name="QUANTITY" dataDxfId="37"/>
    <tableColumn id="3" xr3:uid="{CCE8D6E0-A5C2-478A-81F8-6DCF138F9FCA}" name="HARGA" dataDxfId="36"/>
    <tableColumn id="4" xr3:uid="{C11F3F30-8B91-4E16-9253-7577E00A6D22}" name="YIELD" dataDxfId="35" dataCellStyle="Percent"/>
    <tableColumn id="5" xr3:uid="{7FBE560E-4828-4D96-904A-C2C3C53DA366}" name="HARGA EFEKTIF" dataDxfId="34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4C5ACB0-96BA-4015-93E6-09DA982B743E}" name="Table148142129" displayName="Table148142129" ref="B4:F19" totalsRowCount="1" headerRowDxfId="102" dataDxfId="101" totalsRowDxfId="100">
  <autoFilter ref="B4:F18" xr:uid="{B4C5ACB0-96BA-4015-93E6-09DA982B743E}"/>
  <tableColumns count="5">
    <tableColumn id="1" xr3:uid="{5CAD1FA9-1100-4EBF-90A5-943E6282C0D9}" name="BAHAN" totalsRowLabel="Total" dataDxfId="99" totalsRowDxfId="4"/>
    <tableColumn id="2" xr3:uid="{1F0F56B9-A6D1-4CE1-A98A-98B117489910}" name="QUANTITY" totalsRowFunction="sum" dataDxfId="98" totalsRowDxfId="3"/>
    <tableColumn id="3" xr3:uid="{C9E7870C-DA4D-4A3E-B005-DF514AA191D8}" name="PERSEN" totalsRowFunction="sum" dataDxfId="97" totalsRowDxfId="2" dataCellStyle="Percent">
      <calculatedColumnFormula>Table148142129[[#This Row],[QUANTITY]]/Table148142129[[#Totals],[QUANTITY]]</calculatedColumnFormula>
    </tableColumn>
    <tableColumn id="4" xr3:uid="{626071DA-3B5F-4F8A-9405-070888E40075}" name="HARGA" totalsRowFunction="sum" dataDxfId="96" totalsRowDxfId="1"/>
    <tableColumn id="5" xr3:uid="{C8974705-D83B-4C0C-9DF8-9550613EC2B9}" name="TOTAL" totalsRowFunction="sum" dataDxfId="95" totalsRowDxfId="0">
      <calculatedColumnFormula>E5*C5</calculatedColumnFormula>
    </tableColumn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8FB70A7-A87B-4712-B684-2A0CCAC922CC}" name="Table2510152230" displayName="Table2510152230" ref="B24:E28" totalsRowCount="1" headerRowDxfId="94" dataDxfId="93" totalsRowDxfId="92">
  <autoFilter ref="B24:E27" xr:uid="{28FB70A7-A87B-4712-B684-2A0CCAC922CC}"/>
  <tableColumns count="4">
    <tableColumn id="1" xr3:uid="{E4EAD088-0163-4B2B-B73B-68B0CB107B69}" name="BAHAN" totalsRowLabel="TOTAL KOTOR" dataDxfId="91" totalsRowDxfId="47"/>
    <tableColumn id="2" xr3:uid="{64120E27-5674-420C-8C8A-161FCB25B15C}" name="QUANTITY" dataDxfId="90" totalsRowDxfId="46"/>
    <tableColumn id="3" xr3:uid="{68B61E2C-20E3-4368-A24B-BDA1DEEC4163}" name="HARGA" dataDxfId="89" totalsRowDxfId="45">
      <calculatedColumnFormula>L4</calculatedColumnFormula>
    </tableColumn>
    <tableColumn id="4" xr3:uid="{54EFE949-1C08-4FE6-B627-657B7A977EBB}" name="TOTAL" totalsRowFunction="sum" dataDxfId="88" totalsRowDxfId="44">
      <calculatedColumnFormula>C25*D25</calculatedColumnFormula>
    </tableColumn>
  </tableColumns>
  <tableStyleInfo name="TableStyleMedium1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BF83A41-6081-4F9E-85C9-AC91BB9EBD96}" name="Table511162431" displayName="Table511162431" ref="H22:J28" totalsRowCount="1" headerRowDxfId="87" dataDxfId="86" totalsRowDxfId="85" totalsRowBorderDxfId="84">
  <autoFilter ref="H22:J27" xr:uid="{FBF83A41-6081-4F9E-85C9-AC91BB9EBD96}"/>
  <tableColumns count="3">
    <tableColumn id="1" xr3:uid="{ED568C3F-187C-4640-8AC2-AE430C6F675C}" name="NAMA BARANG" totalsRowLabel="Total" dataDxfId="83" totalsRowDxfId="50"/>
    <tableColumn id="2" xr3:uid="{90143292-FB3F-4C9A-8343-57AC8C16E6A5}" name="QUANTITY" dataDxfId="82" totalsRowDxfId="49"/>
    <tableColumn id="3" xr3:uid="{FF200062-6A94-4F23-933D-A40A56B16A25}" name="HARGA" totalsRowFunction="sum" dataDxfId="81" totalsRowDxfId="48"/>
  </tableColumns>
  <tableStyleInfo name="TableStyleLight1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6E2EA74-9EC7-4E6D-91FF-29C15BE66229}" name="Table5712172532" displayName="Table5712172532" ref="H37:J42" totalsRowCount="1" headerRowDxfId="80" dataDxfId="79" totalsRowDxfId="78" totalsRowBorderDxfId="77">
  <autoFilter ref="H37:J41" xr:uid="{36E2EA74-9EC7-4E6D-91FF-29C15BE66229}"/>
  <tableColumns count="3">
    <tableColumn id="1" xr3:uid="{0276D95D-FEEC-4278-B79F-0A80C9E4ED9E}" name="NAMA BARANG" totalsRowLabel="Total" dataDxfId="75" totalsRowDxfId="76"/>
    <tableColumn id="2" xr3:uid="{DA3486F0-747B-4B5E-8E69-88A2A3B8E091}" name="QUANTITY" dataDxfId="73" totalsRowDxfId="74"/>
    <tableColumn id="3" xr3:uid="{A110D066-B607-4734-9DB5-261C9ABEFBEC}" name="HARGA" totalsRowFunction="sum" dataDxfId="71" totalsRowDxfId="72"/>
  </tableColumns>
  <tableStyleInfo name="TableStyleLight1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A95AF63-07CB-4701-99C8-74B8C9446E65}" name="Table5913182633" displayName="Table5913182633" ref="L22:N28" totalsRowCount="1" headerRowDxfId="70" dataDxfId="69" totalsRowDxfId="68" totalsRowBorderDxfId="67">
  <autoFilter ref="L22:N27" xr:uid="{7A95AF63-07CB-4701-99C8-74B8C9446E65}"/>
  <tableColumns count="3">
    <tableColumn id="1" xr3:uid="{0F64ABD8-DE1D-4A56-9344-00F3A89DEEC7}" name="NAMA BARANG" totalsRowLabel="Total" dataDxfId="65" totalsRowDxfId="66"/>
    <tableColumn id="2" xr3:uid="{92D88637-879E-44F7-ACF2-44512AB9C164}" name="QUANTITY" dataDxfId="63" totalsRowDxfId="64"/>
    <tableColumn id="3" xr3:uid="{E4608700-E716-4962-8246-B5AFEF18654E}" name="HARGA" totalsRowFunction="sum" dataDxfId="61" totalsRowDxfId="62"/>
  </tableColumns>
  <tableStyleInfo name="TableStyleLight1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A378EA0-04F5-478A-BF5F-69313DD659B7}" name="Table571217202835" displayName="Table571217202835" ref="L37:N42" totalsRowCount="1" headerRowDxfId="60" dataDxfId="59" totalsRowDxfId="58" totalsRowBorderDxfId="57">
  <autoFilter ref="L37:N41" xr:uid="{5A378EA0-04F5-478A-BF5F-69313DD659B7}"/>
  <tableColumns count="3">
    <tableColumn id="1" xr3:uid="{9B7C166F-DE63-4049-B97C-9792876FAC4D}" name="NAMA BARANG" totalsRowLabel="Total" dataDxfId="55" totalsRowDxfId="56"/>
    <tableColumn id="2" xr3:uid="{FFF34FAC-B507-4689-B3F4-6B92A0104754}" name="QUANTITY" dataDxfId="53" totalsRowDxfId="54"/>
    <tableColumn id="3" xr3:uid="{C2A3283D-D14A-45AB-9982-24E3F2238F7F}" name="HARGA" totalsRowFunction="sum" dataDxfId="51" totalsRowDxfId="52"/>
  </tableColumns>
  <tableStyleInfo name="TableStyleLight1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073CAB4-1489-4B12-AFCC-5792FCC6B331}" name="Table35" displayName="Table35" ref="H2:L6" totalsRowShown="0" headerRowDxfId="39">
  <autoFilter ref="H2:L6" xr:uid="{9073CAB4-1489-4B12-AFCC-5792FCC6B331}"/>
  <tableColumns count="5">
    <tableColumn id="1" xr3:uid="{2E147AD1-F751-49ED-BDFD-184732F6BB99}" name="BARANG"/>
    <tableColumn id="2" xr3:uid="{1A696C54-039D-48E7-A64F-9F5E95C17CA2}" name="QUANTITY" dataDxfId="43"/>
    <tableColumn id="3" xr3:uid="{208619B7-D1A3-407C-868A-883718C6201A}" name="HARGA" dataDxfId="42"/>
    <tableColumn id="4" xr3:uid="{421ADD3B-7AE7-43A0-A232-603D8E7E76F4}" name="YIELD" dataDxfId="41" dataCellStyle="Percent"/>
    <tableColumn id="5" xr3:uid="{68E049A2-6684-47CC-B2B1-A09389343F42}" name="HARGA EFEKTIF" dataDxfId="4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drawing" Target="../drawings/drawing4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table" Target="../tables/table24.xml"/><Relationship Id="rId1" Type="http://schemas.openxmlformats.org/officeDocument/2006/relationships/drawing" Target="../drawings/drawing6.xm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DA26-079D-41BE-A9D8-769B7A1E5BEF}">
  <dimension ref="A1:I18"/>
  <sheetViews>
    <sheetView zoomScale="117" workbookViewId="0">
      <selection activeCell="G17" sqref="G17"/>
    </sheetView>
  </sheetViews>
  <sheetFormatPr defaultRowHeight="15" x14ac:dyDescent="0.25"/>
  <cols>
    <col min="1" max="1" width="32.140625" style="1" customWidth="1"/>
    <col min="2" max="6" width="17.42578125" style="1" customWidth="1"/>
    <col min="7" max="7" width="17.42578125" style="56" customWidth="1"/>
    <col min="8" max="8" width="17.42578125" style="1" customWidth="1"/>
    <col min="9" max="9" width="17.42578125" customWidth="1"/>
  </cols>
  <sheetData>
    <row r="1" spans="1:9" ht="15" customHeight="1" x14ac:dyDescent="0.25">
      <c r="A1" s="57" t="s">
        <v>93</v>
      </c>
      <c r="B1" s="57"/>
      <c r="C1" s="57"/>
      <c r="D1" s="57"/>
      <c r="E1" s="57"/>
      <c r="F1" s="57"/>
      <c r="G1" s="57"/>
      <c r="H1" s="57"/>
    </row>
    <row r="2" spans="1:9" ht="15" customHeight="1" x14ac:dyDescent="0.25">
      <c r="A2" s="57"/>
      <c r="B2" s="57"/>
      <c r="C2" s="57"/>
      <c r="D2" s="57"/>
      <c r="E2" s="57"/>
      <c r="F2" s="57"/>
      <c r="G2" s="57"/>
      <c r="H2" s="57"/>
    </row>
    <row r="3" spans="1:9" ht="21" customHeight="1" x14ac:dyDescent="0.25">
      <c r="A3" s="57"/>
      <c r="B3" s="57"/>
      <c r="C3" s="57"/>
      <c r="D3" s="57"/>
      <c r="E3" s="57"/>
      <c r="F3" s="57"/>
      <c r="G3" s="57"/>
      <c r="H3" s="57"/>
    </row>
    <row r="4" spans="1:9" ht="15.75" thickBot="1" x14ac:dyDescent="0.3">
      <c r="A4" s="27" t="s">
        <v>88</v>
      </c>
      <c r="B4" s="1" t="s">
        <v>94</v>
      </c>
      <c r="C4" s="52" t="s">
        <v>89</v>
      </c>
      <c r="D4" s="50" t="s">
        <v>90</v>
      </c>
      <c r="E4" s="51" t="s">
        <v>91</v>
      </c>
      <c r="F4" s="52" t="s">
        <v>92</v>
      </c>
      <c r="G4" s="55" t="s">
        <v>5</v>
      </c>
      <c r="H4" s="52" t="s">
        <v>6</v>
      </c>
      <c r="I4" s="53" t="s">
        <v>7</v>
      </c>
    </row>
    <row r="5" spans="1:9" ht="15.75" thickTop="1" x14ac:dyDescent="0.25">
      <c r="A5" s="48">
        <v>46287</v>
      </c>
      <c r="B5" s="27">
        <v>6</v>
      </c>
      <c r="C5" s="49" t="s">
        <v>102</v>
      </c>
      <c r="D5" s="49" t="s">
        <v>95</v>
      </c>
      <c r="E5" s="29" t="s">
        <v>98</v>
      </c>
      <c r="F5" s="29" t="s">
        <v>100</v>
      </c>
      <c r="G5" s="54">
        <v>8</v>
      </c>
      <c r="H5" s="29">
        <v>20000</v>
      </c>
      <c r="I5" s="29">
        <f>Table2123[[#This Row],[HARGA]]*Table2123[[#This Row],[QUANTITY]]/8</f>
        <v>20000</v>
      </c>
    </row>
    <row r="6" spans="1:9" x14ac:dyDescent="0.25">
      <c r="A6" s="48">
        <v>46287</v>
      </c>
      <c r="B6" s="27">
        <v>6</v>
      </c>
      <c r="C6" s="49" t="s">
        <v>102</v>
      </c>
      <c r="D6" s="49" t="s">
        <v>95</v>
      </c>
      <c r="E6" s="29" t="s">
        <v>99</v>
      </c>
      <c r="F6" s="29" t="s">
        <v>97</v>
      </c>
      <c r="G6" s="54">
        <v>8</v>
      </c>
      <c r="H6" s="29">
        <v>20000</v>
      </c>
      <c r="I6" s="29">
        <f>Table2123[[#This Row],[HARGA]]*Table2123[[#This Row],[QUANTITY]]/Table2123[[#This Row],[QUANTITY]]</f>
        <v>20000</v>
      </c>
    </row>
    <row r="7" spans="1:9" x14ac:dyDescent="0.25">
      <c r="A7" s="48">
        <v>46287</v>
      </c>
      <c r="B7" s="27">
        <v>6</v>
      </c>
      <c r="C7" s="49" t="s">
        <v>102</v>
      </c>
      <c r="D7" s="49" t="s">
        <v>95</v>
      </c>
      <c r="E7" s="29" t="s">
        <v>96</v>
      </c>
      <c r="F7" s="29" t="s">
        <v>97</v>
      </c>
      <c r="G7" s="54">
        <v>8</v>
      </c>
      <c r="H7" s="29">
        <v>20000</v>
      </c>
      <c r="I7" s="29">
        <f>Table2123[[#This Row],[HARGA]]*Table2123[[#This Row],[QUANTITY]]/Table2123[[#This Row],[QUANTITY]]</f>
        <v>20000</v>
      </c>
    </row>
    <row r="8" spans="1:9" x14ac:dyDescent="0.25">
      <c r="A8" s="48">
        <v>46287</v>
      </c>
      <c r="B8" s="27">
        <v>6</v>
      </c>
      <c r="C8" s="49" t="s">
        <v>101</v>
      </c>
      <c r="D8" s="49" t="s">
        <v>95</v>
      </c>
      <c r="E8" s="29" t="s">
        <v>96</v>
      </c>
      <c r="F8" s="29" t="s">
        <v>97</v>
      </c>
      <c r="G8" s="54">
        <v>10</v>
      </c>
      <c r="H8" s="29">
        <v>-20000</v>
      </c>
      <c r="I8" s="29">
        <v>-20000</v>
      </c>
    </row>
    <row r="9" spans="1:9" x14ac:dyDescent="0.25">
      <c r="A9" s="48">
        <v>46288</v>
      </c>
      <c r="B9" s="27">
        <v>6</v>
      </c>
      <c r="C9" s="49" t="s">
        <v>104</v>
      </c>
      <c r="D9" s="49" t="s">
        <v>95</v>
      </c>
      <c r="E9" s="29" t="s">
        <v>96</v>
      </c>
      <c r="F9" s="29" t="s">
        <v>97</v>
      </c>
      <c r="G9" s="54">
        <v>10</v>
      </c>
      <c r="H9" s="29">
        <v>22000</v>
      </c>
      <c r="I9" s="29">
        <f>Table2123[[#This Row],[HARGA]]*Table2123[[#This Row],[QUANTITY]]/Table2123[[#This Row],[QUANTITY]]</f>
        <v>22000</v>
      </c>
    </row>
    <row r="10" spans="1:9" x14ac:dyDescent="0.25">
      <c r="A10" s="48">
        <v>46288</v>
      </c>
      <c r="B10" s="27">
        <v>6</v>
      </c>
      <c r="C10" s="49" t="s">
        <v>104</v>
      </c>
      <c r="D10" s="49" t="s">
        <v>95</v>
      </c>
      <c r="E10" s="29" t="s">
        <v>99</v>
      </c>
      <c r="F10" s="29" t="s">
        <v>97</v>
      </c>
      <c r="G10" s="54">
        <v>10</v>
      </c>
      <c r="H10" s="29">
        <v>25000</v>
      </c>
      <c r="I10" s="29">
        <f>Table2123[[#This Row],[HARGA]]*Table2123[[#This Row],[QUANTITY]]/Table2123[[#This Row],[QUANTITY]]</f>
        <v>25000</v>
      </c>
    </row>
    <row r="11" spans="1:9" x14ac:dyDescent="0.25">
      <c r="A11" s="48">
        <v>46288</v>
      </c>
      <c r="B11" s="27">
        <v>6</v>
      </c>
      <c r="C11" s="49" t="s">
        <v>105</v>
      </c>
      <c r="D11" s="49" t="s">
        <v>95</v>
      </c>
      <c r="E11" s="29" t="s">
        <v>96</v>
      </c>
      <c r="F11" s="29" t="s">
        <v>97</v>
      </c>
      <c r="G11" s="54">
        <v>10</v>
      </c>
      <c r="H11" s="29">
        <v>20000</v>
      </c>
      <c r="I11" s="29">
        <f>Table2123[[#This Row],[HARGA]]*Table2123[[#This Row],[QUANTITY]]/10</f>
        <v>20000</v>
      </c>
    </row>
    <row r="12" spans="1:9" x14ac:dyDescent="0.25">
      <c r="A12" s="48">
        <v>46289</v>
      </c>
      <c r="B12" s="27">
        <v>6</v>
      </c>
      <c r="C12" s="49" t="s">
        <v>104</v>
      </c>
      <c r="D12" s="49" t="s">
        <v>95</v>
      </c>
      <c r="E12" s="29" t="s">
        <v>96</v>
      </c>
      <c r="F12" s="29" t="s">
        <v>97</v>
      </c>
      <c r="G12" s="54">
        <v>10</v>
      </c>
      <c r="H12" s="29">
        <v>25000</v>
      </c>
      <c r="I12" s="29">
        <f>Table2123[[#This Row],[HARGA]]*Table2123[[#This Row],[QUANTITY]]/10</f>
        <v>25000</v>
      </c>
    </row>
    <row r="13" spans="1:9" x14ac:dyDescent="0.25">
      <c r="A13" s="48">
        <v>46289</v>
      </c>
      <c r="B13" s="27">
        <v>6</v>
      </c>
      <c r="C13" s="49" t="s">
        <v>104</v>
      </c>
      <c r="D13" s="49" t="s">
        <v>95</v>
      </c>
      <c r="E13" s="29" t="s">
        <v>106</v>
      </c>
      <c r="F13" s="29" t="s">
        <v>97</v>
      </c>
      <c r="G13" s="54">
        <v>10</v>
      </c>
      <c r="H13" s="29">
        <v>25000</v>
      </c>
      <c r="I13" s="29">
        <f>Table2123[[#This Row],[HARGA]]*Table2123[[#This Row],[QUANTITY]]/10</f>
        <v>25000</v>
      </c>
    </row>
    <row r="14" spans="1:9" x14ac:dyDescent="0.25">
      <c r="A14" s="48">
        <v>46290</v>
      </c>
      <c r="B14" s="27">
        <v>6</v>
      </c>
      <c r="C14" s="49" t="s">
        <v>104</v>
      </c>
      <c r="D14" s="49" t="s">
        <v>95</v>
      </c>
      <c r="E14" s="29" t="s">
        <v>96</v>
      </c>
      <c r="F14" s="29" t="s">
        <v>97</v>
      </c>
      <c r="G14" s="54">
        <v>50</v>
      </c>
      <c r="H14" s="29">
        <v>20000</v>
      </c>
      <c r="I14" s="29">
        <f>Table2123[[#This Row],[HARGA]]*Table2123[[#This Row],[QUANTITY]]/10</f>
        <v>100000</v>
      </c>
    </row>
    <row r="15" spans="1:9" x14ac:dyDescent="0.25">
      <c r="A15" s="48">
        <v>46290</v>
      </c>
      <c r="B15" s="27">
        <v>6</v>
      </c>
      <c r="C15" s="49" t="s">
        <v>104</v>
      </c>
      <c r="D15" s="49" t="s">
        <v>95</v>
      </c>
      <c r="E15" s="29" t="s">
        <v>106</v>
      </c>
      <c r="F15" s="29" t="s">
        <v>97</v>
      </c>
      <c r="G15" s="54">
        <v>40</v>
      </c>
      <c r="H15" s="29">
        <v>25000</v>
      </c>
      <c r="I15" s="29">
        <f>Table2123[[#This Row],[HARGA]]*Table2123[[#This Row],[QUANTITY]]/10</f>
        <v>100000</v>
      </c>
    </row>
    <row r="16" spans="1:9" x14ac:dyDescent="0.25">
      <c r="A16" s="48">
        <v>46290</v>
      </c>
      <c r="B16" s="27">
        <v>7</v>
      </c>
      <c r="C16" s="49" t="s">
        <v>102</v>
      </c>
      <c r="D16" s="49" t="s">
        <v>95</v>
      </c>
      <c r="E16" s="29" t="s">
        <v>106</v>
      </c>
      <c r="F16" s="29" t="s">
        <v>97</v>
      </c>
      <c r="G16" s="54">
        <v>8</v>
      </c>
      <c r="H16" s="29">
        <v>20000</v>
      </c>
      <c r="I16" s="29">
        <f>Table2123[[#This Row],[HARGA]]*Table2123[[#This Row],[QUANTITY]]</f>
        <v>160000</v>
      </c>
    </row>
    <row r="18" spans="7:7" x14ac:dyDescent="0.25">
      <c r="G18" s="56">
        <f>SUM(Table2123[QUANTITY])</f>
        <v>182</v>
      </c>
    </row>
  </sheetData>
  <mergeCells count="1">
    <mergeCell ref="A1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64BC-63A8-4AB8-81C4-7F0E12818605}">
  <dimension ref="A4:H5"/>
  <sheetViews>
    <sheetView zoomScale="61" workbookViewId="0">
      <selection activeCell="A5" sqref="A5"/>
    </sheetView>
  </sheetViews>
  <sheetFormatPr defaultRowHeight="15" x14ac:dyDescent="0.25"/>
  <cols>
    <col min="1" max="8" width="35.42578125" customWidth="1"/>
  </cols>
  <sheetData>
    <row r="4" spans="1:8" ht="18" thickBot="1" x14ac:dyDescent="0.3">
      <c r="A4" s="76" t="s">
        <v>88</v>
      </c>
      <c r="B4" s="77" t="s">
        <v>107</v>
      </c>
      <c r="C4" s="77" t="s">
        <v>108</v>
      </c>
      <c r="D4" s="77" t="s">
        <v>109</v>
      </c>
      <c r="E4" s="77" t="s">
        <v>90</v>
      </c>
      <c r="F4" s="77" t="s">
        <v>5</v>
      </c>
      <c r="G4" s="77" t="s">
        <v>6</v>
      </c>
      <c r="H4" s="77" t="s">
        <v>7</v>
      </c>
    </row>
    <row r="5" spans="1:8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F43A-BF46-415E-8D91-2607F2F1F085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35E0-BDD1-4E4C-8FBA-E79545583B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F180-B379-4092-B419-30D959EC8E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124F-B3FE-444E-BD74-D0045DE8B0D1}">
  <dimension ref="B1:J46"/>
  <sheetViews>
    <sheetView zoomScale="137" zoomScaleNormal="145" workbookViewId="0">
      <selection activeCell="E41" sqref="E41"/>
    </sheetView>
  </sheetViews>
  <sheetFormatPr defaultRowHeight="15" x14ac:dyDescent="0.25"/>
  <cols>
    <col min="2" max="2" width="20.140625" customWidth="1"/>
    <col min="3" max="3" width="16.5703125" customWidth="1"/>
    <col min="4" max="4" width="16.5703125" style="2" customWidth="1"/>
    <col min="5" max="6" width="16.5703125" style="4" customWidth="1"/>
    <col min="8" max="8" width="28.7109375" style="4" customWidth="1"/>
    <col min="9" max="9" width="16.28515625" style="4" bestFit="1" customWidth="1"/>
    <col min="10" max="10" width="18.5703125" customWidth="1"/>
  </cols>
  <sheetData>
    <row r="1" spans="2:10" x14ac:dyDescent="0.25">
      <c r="B1" s="58" t="s">
        <v>3</v>
      </c>
      <c r="C1" s="58"/>
      <c r="D1" s="58"/>
      <c r="E1" s="58"/>
    </row>
    <row r="2" spans="2:10" x14ac:dyDescent="0.25">
      <c r="B2" s="58"/>
      <c r="C2" s="58"/>
      <c r="D2" s="58"/>
      <c r="E2" s="58"/>
    </row>
    <row r="3" spans="2:10" x14ac:dyDescent="0.25">
      <c r="H3" s="4" t="s">
        <v>13</v>
      </c>
      <c r="I3" s="4">
        <f>(35000*5/3)</f>
        <v>58333.333333333336</v>
      </c>
    </row>
    <row r="4" spans="2:10" x14ac:dyDescent="0.25">
      <c r="B4" s="1" t="s">
        <v>4</v>
      </c>
      <c r="C4" s="1" t="s">
        <v>5</v>
      </c>
      <c r="D4" s="2" t="s">
        <v>27</v>
      </c>
      <c r="E4" s="3" t="s">
        <v>6</v>
      </c>
      <c r="F4" s="5" t="s">
        <v>7</v>
      </c>
      <c r="H4" s="4" t="s">
        <v>24</v>
      </c>
      <c r="I4" s="4">
        <f>(10000/450)*1000</f>
        <v>22222.222222222223</v>
      </c>
    </row>
    <row r="5" spans="2:10" x14ac:dyDescent="0.25">
      <c r="B5" t="s">
        <v>0</v>
      </c>
      <c r="C5">
        <v>1000</v>
      </c>
      <c r="D5" s="7">
        <f>C5/$C$18</f>
        <v>0.60716454159077105</v>
      </c>
      <c r="E5" s="2">
        <f>I3/1000</f>
        <v>58.333333333333336</v>
      </c>
      <c r="F5" s="4">
        <f t="shared" ref="F5:F17" si="0">E5*C5</f>
        <v>58333.333333333336</v>
      </c>
      <c r="H5" t="s">
        <v>26</v>
      </c>
      <c r="I5" s="4">
        <v>6700</v>
      </c>
    </row>
    <row r="6" spans="2:10" x14ac:dyDescent="0.25">
      <c r="B6" t="s">
        <v>25</v>
      </c>
      <c r="C6">
        <v>175</v>
      </c>
      <c r="D6" s="7">
        <f>C6/$C$18</f>
        <v>0.10625379477838494</v>
      </c>
      <c r="E6" s="2">
        <v>32</v>
      </c>
      <c r="F6" s="4">
        <f t="shared" si="0"/>
        <v>5600</v>
      </c>
    </row>
    <row r="7" spans="2:10" x14ac:dyDescent="0.25">
      <c r="B7" t="s">
        <v>1</v>
      </c>
      <c r="D7" s="7"/>
      <c r="E7" s="2"/>
      <c r="F7" s="4">
        <f t="shared" si="0"/>
        <v>0</v>
      </c>
    </row>
    <row r="8" spans="2:10" x14ac:dyDescent="0.25">
      <c r="B8" t="s">
        <v>2</v>
      </c>
      <c r="C8">
        <v>100</v>
      </c>
      <c r="D8" s="7">
        <f t="shared" ref="D8:D18" si="1">C8/$C$18</f>
        <v>6.0716454159077109E-2</v>
      </c>
      <c r="E8" s="2">
        <f>I4/1000</f>
        <v>22.222222222222221</v>
      </c>
      <c r="F8" s="4">
        <f t="shared" si="0"/>
        <v>2222.2222222222222</v>
      </c>
    </row>
    <row r="9" spans="2:10" x14ac:dyDescent="0.25">
      <c r="B9" t="s">
        <v>8</v>
      </c>
      <c r="C9">
        <v>300</v>
      </c>
      <c r="D9" s="7">
        <f t="shared" si="1"/>
        <v>0.18214936247723132</v>
      </c>
      <c r="E9" s="2">
        <v>13</v>
      </c>
      <c r="F9" s="4">
        <f t="shared" si="0"/>
        <v>3900</v>
      </c>
      <c r="H9" s="59" t="s">
        <v>28</v>
      </c>
      <c r="I9" s="59"/>
      <c r="J9" s="59"/>
    </row>
    <row r="10" spans="2:10" x14ac:dyDescent="0.25">
      <c r="B10" t="s">
        <v>17</v>
      </c>
      <c r="C10">
        <v>5</v>
      </c>
      <c r="D10" s="7">
        <f t="shared" si="1"/>
        <v>3.0358227079538553E-3</v>
      </c>
      <c r="E10" s="2">
        <v>18</v>
      </c>
      <c r="F10" s="4">
        <f t="shared" si="0"/>
        <v>90</v>
      </c>
      <c r="H10" t="s">
        <v>33</v>
      </c>
      <c r="I10">
        <f>30*3.5</f>
        <v>105</v>
      </c>
      <c r="J10" s="2">
        <f>I5/30*I10</f>
        <v>23450</v>
      </c>
    </row>
    <row r="11" spans="2:10" x14ac:dyDescent="0.25">
      <c r="B11" t="s">
        <v>9</v>
      </c>
      <c r="C11">
        <v>14</v>
      </c>
      <c r="D11" s="7">
        <f t="shared" si="1"/>
        <v>8.5003035822707948E-3</v>
      </c>
      <c r="E11" s="2">
        <v>54</v>
      </c>
      <c r="F11" s="4">
        <f t="shared" si="0"/>
        <v>756</v>
      </c>
      <c r="H11" t="s">
        <v>31</v>
      </c>
      <c r="I11">
        <v>105</v>
      </c>
      <c r="J11" s="2">
        <f>(F18+J10)/I11</f>
        <v>1034.5957671957672</v>
      </c>
    </row>
    <row r="12" spans="2:10" x14ac:dyDescent="0.25">
      <c r="B12" t="s">
        <v>10</v>
      </c>
      <c r="C12">
        <v>4</v>
      </c>
      <c r="D12" s="7">
        <f t="shared" si="1"/>
        <v>2.4286581663630845E-3</v>
      </c>
      <c r="E12" s="2">
        <v>19</v>
      </c>
      <c r="F12" s="4">
        <f t="shared" si="0"/>
        <v>76</v>
      </c>
    </row>
    <row r="13" spans="2:10" x14ac:dyDescent="0.25">
      <c r="B13" t="s">
        <v>11</v>
      </c>
      <c r="C13">
        <v>20</v>
      </c>
      <c r="D13" s="7">
        <f t="shared" si="1"/>
        <v>1.2143290831815421E-2</v>
      </c>
      <c r="E13" s="2">
        <v>10</v>
      </c>
      <c r="F13" s="4">
        <f t="shared" si="0"/>
        <v>200</v>
      </c>
    </row>
    <row r="14" spans="2:10" x14ac:dyDescent="0.25">
      <c r="B14" t="s">
        <v>12</v>
      </c>
      <c r="C14">
        <v>4</v>
      </c>
      <c r="D14" s="7">
        <f t="shared" si="1"/>
        <v>2.4286581663630845E-3</v>
      </c>
      <c r="E14" s="2">
        <v>162.5</v>
      </c>
      <c r="F14" s="4">
        <f t="shared" si="0"/>
        <v>650</v>
      </c>
    </row>
    <row r="15" spans="2:10" x14ac:dyDescent="0.25">
      <c r="B15" t="s">
        <v>15</v>
      </c>
      <c r="C15">
        <v>15</v>
      </c>
      <c r="D15" s="7">
        <f t="shared" si="1"/>
        <v>9.1074681238615673E-3</v>
      </c>
      <c r="E15" s="2">
        <v>665</v>
      </c>
      <c r="F15" s="4">
        <f t="shared" si="0"/>
        <v>9975</v>
      </c>
    </row>
    <row r="16" spans="2:10" x14ac:dyDescent="0.25">
      <c r="B16" t="s">
        <v>16</v>
      </c>
      <c r="C16">
        <v>10</v>
      </c>
      <c r="D16" s="7">
        <f t="shared" si="1"/>
        <v>6.0716454159077107E-3</v>
      </c>
      <c r="E16" s="2">
        <v>338</v>
      </c>
      <c r="F16" s="4">
        <f t="shared" si="0"/>
        <v>3380</v>
      </c>
    </row>
    <row r="17" spans="2:6" x14ac:dyDescent="0.25">
      <c r="B17" t="s">
        <v>36</v>
      </c>
      <c r="C17">
        <v>90</v>
      </c>
      <c r="D17" s="2">
        <f t="shared" si="1"/>
        <v>5.4644808743169397E-2</v>
      </c>
      <c r="E17" s="4">
        <v>35</v>
      </c>
      <c r="F17" s="4">
        <f t="shared" si="0"/>
        <v>3150</v>
      </c>
    </row>
    <row r="18" spans="2:6" x14ac:dyDescent="0.25">
      <c r="B18" t="s">
        <v>7</v>
      </c>
      <c r="C18" s="6">
        <f>SUM(C5:C6)+SUM(C8:C16)</f>
        <v>1647</v>
      </c>
      <c r="D18" s="7">
        <f t="shared" si="1"/>
        <v>1</v>
      </c>
      <c r="E18" s="4">
        <f>SUM(E5:E6)+SUM(E8:E16)</f>
        <v>1392.0555555555554</v>
      </c>
      <c r="F18" s="4">
        <f>SUM(F5:F6)+SUM(F8:F16)</f>
        <v>85182.555555555562</v>
      </c>
    </row>
    <row r="20" spans="2:6" x14ac:dyDescent="0.25">
      <c r="B20" s="58" t="s">
        <v>14</v>
      </c>
      <c r="C20" s="58"/>
      <c r="D20" s="58"/>
      <c r="E20" s="58"/>
    </row>
    <row r="21" spans="2:6" x14ac:dyDescent="0.25">
      <c r="B21" s="58"/>
      <c r="C21" s="58"/>
      <c r="D21" s="58"/>
      <c r="E21" s="58"/>
    </row>
    <row r="22" spans="2:6" x14ac:dyDescent="0.25">
      <c r="B22" t="s">
        <v>18</v>
      </c>
      <c r="C22">
        <v>50</v>
      </c>
      <c r="D22" s="2">
        <v>23000</v>
      </c>
    </row>
    <row r="23" spans="2:6" x14ac:dyDescent="0.25">
      <c r="B23" t="s">
        <v>19</v>
      </c>
      <c r="C23">
        <v>50</v>
      </c>
      <c r="D23" s="2">
        <v>24500</v>
      </c>
    </row>
    <row r="24" spans="2:6" x14ac:dyDescent="0.25">
      <c r="B24" t="s">
        <v>20</v>
      </c>
      <c r="C24">
        <v>50</v>
      </c>
      <c r="D24" s="2">
        <v>10000</v>
      </c>
    </row>
    <row r="25" spans="2:6" x14ac:dyDescent="0.25">
      <c r="B25" t="s">
        <v>21</v>
      </c>
      <c r="C25">
        <v>25</v>
      </c>
      <c r="D25" s="2">
        <v>26000</v>
      </c>
    </row>
    <row r="28" spans="2:6" x14ac:dyDescent="0.25">
      <c r="B28" t="s">
        <v>28</v>
      </c>
    </row>
    <row r="29" spans="2:6" x14ac:dyDescent="0.25">
      <c r="B29" t="s">
        <v>33</v>
      </c>
      <c r="D29" s="2">
        <f>I5*3.5</f>
        <v>23450</v>
      </c>
    </row>
    <row r="30" spans="2:6" x14ac:dyDescent="0.25">
      <c r="B30" t="s">
        <v>31</v>
      </c>
      <c r="C30">
        <f>79+30</f>
        <v>109</v>
      </c>
      <c r="D30" s="2">
        <f>(F18+D29)/C30</f>
        <v>996.62895005096846</v>
      </c>
    </row>
    <row r="31" spans="2:6" x14ac:dyDescent="0.25">
      <c r="B31" s="4"/>
    </row>
    <row r="32" spans="2:6" x14ac:dyDescent="0.25">
      <c r="B32" s="4" t="s">
        <v>22</v>
      </c>
    </row>
    <row r="33" spans="2:4" x14ac:dyDescent="0.25">
      <c r="B33" t="s">
        <v>29</v>
      </c>
      <c r="C33">
        <v>10</v>
      </c>
      <c r="D33" s="2">
        <f>D30*C33</f>
        <v>9966.2895005096852</v>
      </c>
    </row>
    <row r="34" spans="2:4" x14ac:dyDescent="0.25">
      <c r="B34" t="s">
        <v>18</v>
      </c>
      <c r="C34">
        <v>1</v>
      </c>
      <c r="D34" s="2">
        <f>D22/C22</f>
        <v>460</v>
      </c>
    </row>
    <row r="35" spans="2:4" x14ac:dyDescent="0.25">
      <c r="B35" t="s">
        <v>19</v>
      </c>
      <c r="C35">
        <v>1</v>
      </c>
      <c r="D35" s="2">
        <f>D23/C23</f>
        <v>490</v>
      </c>
    </row>
    <row r="36" spans="2:4" x14ac:dyDescent="0.25">
      <c r="B36" t="s">
        <v>20</v>
      </c>
      <c r="C36">
        <v>1</v>
      </c>
      <c r="D36" s="2">
        <f>D24/C24</f>
        <v>200</v>
      </c>
    </row>
    <row r="37" spans="2:4" x14ac:dyDescent="0.25">
      <c r="B37" t="s">
        <v>32</v>
      </c>
      <c r="D37" s="2">
        <f>SUM(D33:D36)</f>
        <v>11116.289500509685</v>
      </c>
    </row>
    <row r="38" spans="2:4" x14ac:dyDescent="0.25">
      <c r="B38" t="s">
        <v>34</v>
      </c>
      <c r="D38" s="2">
        <v>25000</v>
      </c>
    </row>
    <row r="39" spans="2:4" x14ac:dyDescent="0.25">
      <c r="B39" t="s">
        <v>35</v>
      </c>
      <c r="D39" s="8">
        <f>(D37/D38)</f>
        <v>0.4446515800203874</v>
      </c>
    </row>
    <row r="41" spans="2:4" x14ac:dyDescent="0.25">
      <c r="B41" s="4" t="s">
        <v>23</v>
      </c>
    </row>
    <row r="42" spans="2:4" x14ac:dyDescent="0.25">
      <c r="B42" t="s">
        <v>29</v>
      </c>
      <c r="C42">
        <v>10</v>
      </c>
      <c r="D42" s="2">
        <f>D30*C42</f>
        <v>9966.2895005096852</v>
      </c>
    </row>
    <row r="43" spans="2:4" x14ac:dyDescent="0.25">
      <c r="B43" t="s">
        <v>21</v>
      </c>
      <c r="C43">
        <v>1</v>
      </c>
      <c r="D43" s="2">
        <f>(26000/25)*C43</f>
        <v>1040</v>
      </c>
    </row>
    <row r="44" spans="2:4" x14ac:dyDescent="0.25">
      <c r="B44" t="s">
        <v>30</v>
      </c>
      <c r="D44" s="2">
        <f>SUM(D42:D43)</f>
        <v>11006.289500509685</v>
      </c>
    </row>
    <row r="45" spans="2:4" x14ac:dyDescent="0.25">
      <c r="B45" t="s">
        <v>34</v>
      </c>
      <c r="D45" s="2">
        <v>25000</v>
      </c>
    </row>
    <row r="46" spans="2:4" x14ac:dyDescent="0.25">
      <c r="B46" t="s">
        <v>35</v>
      </c>
      <c r="D46" s="8">
        <f>D44/D45</f>
        <v>0.44025158002038739</v>
      </c>
    </row>
  </sheetData>
  <mergeCells count="3">
    <mergeCell ref="B1:E2"/>
    <mergeCell ref="B20:E21"/>
    <mergeCell ref="H9:J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C6F1-8C8E-4AC8-964A-AB1C1BAC284D}">
  <dimension ref="B1:O46"/>
  <sheetViews>
    <sheetView zoomScale="121" workbookViewId="0">
      <selection activeCell="E25" sqref="E25"/>
    </sheetView>
  </sheetViews>
  <sheetFormatPr defaultRowHeight="15" x14ac:dyDescent="0.25"/>
  <cols>
    <col min="2" max="2" width="20.140625" customWidth="1"/>
    <col min="3" max="3" width="16.5703125" customWidth="1"/>
    <col min="4" max="4" width="16.5703125" style="2" customWidth="1"/>
    <col min="5" max="6" width="16.5703125" style="4" customWidth="1"/>
    <col min="8" max="8" width="28.7109375" style="4" customWidth="1"/>
    <col min="9" max="9" width="16.28515625" style="4" bestFit="1" customWidth="1"/>
    <col min="10" max="10" width="18.5703125" customWidth="1"/>
    <col min="11" max="11" width="18.140625" customWidth="1"/>
  </cols>
  <sheetData>
    <row r="1" spans="2:10" x14ac:dyDescent="0.25">
      <c r="B1" s="58" t="s">
        <v>38</v>
      </c>
      <c r="C1" s="58"/>
      <c r="D1" s="58"/>
      <c r="E1" s="58"/>
    </row>
    <row r="2" spans="2:10" x14ac:dyDescent="0.25">
      <c r="B2" s="58"/>
      <c r="C2" s="58"/>
      <c r="D2" s="58"/>
      <c r="E2" s="58"/>
    </row>
    <row r="3" spans="2:10" x14ac:dyDescent="0.25">
      <c r="H3" s="4" t="s">
        <v>13</v>
      </c>
      <c r="I3" s="4">
        <f>(35000*5/3)</f>
        <v>58333.333333333336</v>
      </c>
    </row>
    <row r="4" spans="2:10" x14ac:dyDescent="0.25">
      <c r="B4" s="1" t="s">
        <v>4</v>
      </c>
      <c r="C4" s="1" t="s">
        <v>5</v>
      </c>
      <c r="D4" s="2" t="s">
        <v>27</v>
      </c>
      <c r="E4" s="3" t="s">
        <v>6</v>
      </c>
      <c r="F4" s="5" t="s">
        <v>7</v>
      </c>
      <c r="H4" s="4" t="s">
        <v>24</v>
      </c>
      <c r="I4" s="4">
        <f>(10000/450)*1000</f>
        <v>22222.222222222223</v>
      </c>
    </row>
    <row r="5" spans="2:10" x14ac:dyDescent="0.25">
      <c r="B5" t="s">
        <v>0</v>
      </c>
      <c r="C5">
        <v>1000</v>
      </c>
      <c r="D5" s="7">
        <f>C5/$C$19</f>
        <v>0.5376344086021505</v>
      </c>
      <c r="E5" s="2">
        <f>I3/1000</f>
        <v>58.333333333333336</v>
      </c>
      <c r="F5" s="4">
        <f t="shared" ref="F5:F11" si="0">E5*C5</f>
        <v>58333.333333333336</v>
      </c>
      <c r="H5" t="s">
        <v>26</v>
      </c>
      <c r="I5" s="4">
        <v>7100</v>
      </c>
    </row>
    <row r="6" spans="2:10" x14ac:dyDescent="0.25">
      <c r="B6" t="s">
        <v>25</v>
      </c>
      <c r="C6">
        <v>290</v>
      </c>
      <c r="D6" s="7">
        <f t="shared" ref="D6:D18" si="1">C6/$C$19</f>
        <v>0.15591397849462366</v>
      </c>
      <c r="E6" s="2">
        <v>32</v>
      </c>
      <c r="F6" s="4">
        <f t="shared" si="0"/>
        <v>9280</v>
      </c>
    </row>
    <row r="7" spans="2:10" x14ac:dyDescent="0.25">
      <c r="B7" t="s">
        <v>1</v>
      </c>
      <c r="D7" s="7"/>
      <c r="E7" s="2"/>
      <c r="F7" s="4">
        <f t="shared" si="0"/>
        <v>0</v>
      </c>
    </row>
    <row r="8" spans="2:10" x14ac:dyDescent="0.25">
      <c r="B8" t="s">
        <v>2</v>
      </c>
      <c r="C8">
        <v>110</v>
      </c>
      <c r="D8" s="7">
        <f t="shared" si="1"/>
        <v>5.9139784946236562E-2</v>
      </c>
      <c r="E8" s="2">
        <f>I4/1000</f>
        <v>22.222222222222221</v>
      </c>
      <c r="F8" s="4">
        <f t="shared" si="0"/>
        <v>2444.4444444444443</v>
      </c>
    </row>
    <row r="9" spans="2:10" x14ac:dyDescent="0.25">
      <c r="B9" t="s">
        <v>8</v>
      </c>
      <c r="C9">
        <v>215</v>
      </c>
      <c r="D9" s="7">
        <f t="shared" si="1"/>
        <v>0.11559139784946236</v>
      </c>
      <c r="E9" s="2">
        <v>13</v>
      </c>
      <c r="F9" s="4">
        <f t="shared" si="0"/>
        <v>2795</v>
      </c>
      <c r="H9" s="59" t="s">
        <v>51</v>
      </c>
      <c r="I9" s="59"/>
      <c r="J9" s="59"/>
    </row>
    <row r="10" spans="2:10" x14ac:dyDescent="0.25">
      <c r="B10" t="s">
        <v>17</v>
      </c>
      <c r="C10">
        <v>5</v>
      </c>
      <c r="D10" s="7">
        <f t="shared" si="1"/>
        <v>2.6881720430107529E-3</v>
      </c>
      <c r="E10" s="2">
        <v>18</v>
      </c>
      <c r="F10" s="4">
        <f t="shared" si="0"/>
        <v>90</v>
      </c>
      <c r="H10" t="s">
        <v>46</v>
      </c>
      <c r="I10">
        <v>170</v>
      </c>
      <c r="J10" s="2">
        <f>I5/30*I10</f>
        <v>40233.333333333328</v>
      </c>
    </row>
    <row r="11" spans="2:10" x14ac:dyDescent="0.25">
      <c r="B11" t="s">
        <v>36</v>
      </c>
      <c r="C11">
        <v>90</v>
      </c>
      <c r="D11" s="7">
        <f t="shared" si="1"/>
        <v>4.8387096774193547E-2</v>
      </c>
      <c r="E11" s="4">
        <v>35</v>
      </c>
      <c r="F11" s="4">
        <f t="shared" si="0"/>
        <v>3150</v>
      </c>
      <c r="H11" t="s">
        <v>31</v>
      </c>
      <c r="I11">
        <v>170</v>
      </c>
      <c r="J11" s="2">
        <f>(E25+E26+E27+E33)+(F19+J10)/I11</f>
        <v>14000.05751633987</v>
      </c>
    </row>
    <row r="12" spans="2:10" x14ac:dyDescent="0.25">
      <c r="B12" t="s">
        <v>9</v>
      </c>
      <c r="C12">
        <v>14</v>
      </c>
      <c r="D12" s="7">
        <f t="shared" si="1"/>
        <v>7.526881720430108E-3</v>
      </c>
      <c r="E12" s="2">
        <v>54</v>
      </c>
      <c r="F12" s="4">
        <f t="shared" ref="F12:F17" si="2">E12*C12</f>
        <v>756</v>
      </c>
    </row>
    <row r="13" spans="2:10" x14ac:dyDescent="0.25">
      <c r="B13" t="s">
        <v>10</v>
      </c>
      <c r="C13">
        <v>4</v>
      </c>
      <c r="D13" s="7">
        <f t="shared" si="1"/>
        <v>2.1505376344086021E-3</v>
      </c>
      <c r="E13" s="2">
        <v>19</v>
      </c>
      <c r="F13" s="4">
        <f t="shared" si="2"/>
        <v>76</v>
      </c>
    </row>
    <row r="14" spans="2:10" x14ac:dyDescent="0.25">
      <c r="B14" t="s">
        <v>11</v>
      </c>
      <c r="C14">
        <v>20</v>
      </c>
      <c r="D14" s="7">
        <f t="shared" si="1"/>
        <v>1.0752688172043012E-2</v>
      </c>
      <c r="E14" s="2">
        <v>10</v>
      </c>
      <c r="F14" s="4">
        <f t="shared" si="2"/>
        <v>200</v>
      </c>
    </row>
    <row r="15" spans="2:10" x14ac:dyDescent="0.25">
      <c r="B15" t="s">
        <v>12</v>
      </c>
      <c r="C15">
        <v>4</v>
      </c>
      <c r="D15" s="7">
        <f t="shared" si="1"/>
        <v>2.1505376344086021E-3</v>
      </c>
      <c r="E15" s="2">
        <v>162.5</v>
      </c>
      <c r="F15" s="4">
        <f t="shared" si="2"/>
        <v>650</v>
      </c>
    </row>
    <row r="16" spans="2:10" x14ac:dyDescent="0.25">
      <c r="B16" t="s">
        <v>15</v>
      </c>
      <c r="C16">
        <v>15</v>
      </c>
      <c r="D16" s="7">
        <f t="shared" si="1"/>
        <v>8.0645161290322578E-3</v>
      </c>
      <c r="E16" s="2">
        <v>665</v>
      </c>
      <c r="F16" s="4">
        <f t="shared" si="2"/>
        <v>9975</v>
      </c>
    </row>
    <row r="17" spans="2:15" x14ac:dyDescent="0.25">
      <c r="B17" t="s">
        <v>16</v>
      </c>
      <c r="C17">
        <v>10</v>
      </c>
      <c r="D17" s="7">
        <f t="shared" si="1"/>
        <v>5.3763440860215058E-3</v>
      </c>
      <c r="E17" s="2">
        <v>338</v>
      </c>
      <c r="F17" s="4">
        <f t="shared" si="2"/>
        <v>3380</v>
      </c>
      <c r="O17" t="s">
        <v>52</v>
      </c>
    </row>
    <row r="18" spans="2:15" x14ac:dyDescent="0.25">
      <c r="B18" t="s">
        <v>37</v>
      </c>
      <c r="C18" s="6">
        <f>C19-SUM(C5:C17)</f>
        <v>83</v>
      </c>
      <c r="D18" s="7">
        <f t="shared" si="1"/>
        <v>4.4623655913978495E-2</v>
      </c>
      <c r="E18" s="4">
        <v>10</v>
      </c>
      <c r="O18" t="s">
        <v>53</v>
      </c>
    </row>
    <row r="19" spans="2:15" x14ac:dyDescent="0.25">
      <c r="B19" t="s">
        <v>7</v>
      </c>
      <c r="C19" s="9">
        <v>1860</v>
      </c>
      <c r="D19" s="7">
        <f>C19/$C$19</f>
        <v>1</v>
      </c>
      <c r="E19" s="4">
        <f>SUM(E5:E6)+SUM(E8:E17)</f>
        <v>1427.0555555555554</v>
      </c>
      <c r="F19" s="4">
        <f>SUM(F5:F6)+SUM(F8:F17)</f>
        <v>91129.777777777781</v>
      </c>
      <c r="G19" s="2"/>
      <c r="O19" s="11" t="s">
        <v>54</v>
      </c>
    </row>
    <row r="20" spans="2:15" ht="15" customHeight="1" x14ac:dyDescent="0.25">
      <c r="B20" s="10"/>
      <c r="C20" s="10"/>
      <c r="D20" s="10"/>
      <c r="E20" s="10"/>
      <c r="F20" s="4">
        <f>SUM(E25:E27)+E33+F19</f>
        <v>104357.11111111111</v>
      </c>
      <c r="O20" t="s">
        <v>55</v>
      </c>
    </row>
    <row r="21" spans="2:15" ht="15" customHeight="1" x14ac:dyDescent="0.25">
      <c r="B21" s="10"/>
      <c r="C21" s="10"/>
      <c r="D21" s="10"/>
      <c r="E21" s="10"/>
    </row>
    <row r="22" spans="2:15" ht="21" x14ac:dyDescent="0.35">
      <c r="B22" s="60" t="s">
        <v>45</v>
      </c>
      <c r="C22" s="60"/>
      <c r="D22" s="60"/>
      <c r="E22" s="60"/>
      <c r="F22" s="60"/>
      <c r="K22" s="2"/>
    </row>
    <row r="23" spans="2:15" x14ac:dyDescent="0.25">
      <c r="B23" s="1" t="s">
        <v>4</v>
      </c>
      <c r="C23" s="1" t="s">
        <v>5</v>
      </c>
      <c r="D23" s="3" t="s">
        <v>6</v>
      </c>
      <c r="E23" s="4" t="s">
        <v>7</v>
      </c>
    </row>
    <row r="24" spans="2:15" x14ac:dyDescent="0.25">
      <c r="B24" t="s">
        <v>40</v>
      </c>
      <c r="C24" s="6">
        <v>300</v>
      </c>
      <c r="D24" s="2">
        <v>49</v>
      </c>
      <c r="E24" s="4">
        <f>D24*C24</f>
        <v>14700</v>
      </c>
      <c r="K24" s="2"/>
    </row>
    <row r="25" spans="2:15" x14ac:dyDescent="0.25">
      <c r="B25" t="s">
        <v>41</v>
      </c>
      <c r="C25" s="6">
        <v>25</v>
      </c>
      <c r="D25" s="2">
        <f>E5</f>
        <v>58.333333333333336</v>
      </c>
      <c r="E25" s="4">
        <f>D25*C25</f>
        <v>1458.3333333333335</v>
      </c>
    </row>
    <row r="26" spans="2:15" x14ac:dyDescent="0.25">
      <c r="B26" t="s">
        <v>43</v>
      </c>
      <c r="C26" s="6">
        <v>8</v>
      </c>
      <c r="D26" s="2">
        <v>48</v>
      </c>
      <c r="E26" s="4">
        <f>D26*C26</f>
        <v>384</v>
      </c>
    </row>
    <row r="27" spans="2:15" x14ac:dyDescent="0.25">
      <c r="B27" t="s">
        <v>44</v>
      </c>
      <c r="C27" s="6">
        <v>55</v>
      </c>
      <c r="D27" s="2">
        <f>E6</f>
        <v>32</v>
      </c>
      <c r="E27" s="4">
        <f>D27*C27</f>
        <v>1760</v>
      </c>
    </row>
    <row r="28" spans="2:15" x14ac:dyDescent="0.25">
      <c r="B28" t="s">
        <v>47</v>
      </c>
      <c r="C28" s="59" t="s">
        <v>49</v>
      </c>
      <c r="D28" s="59"/>
      <c r="E28" s="59"/>
    </row>
    <row r="31" spans="2:15" x14ac:dyDescent="0.25">
      <c r="B31" s="61" t="s">
        <v>39</v>
      </c>
      <c r="C31" s="61"/>
    </row>
    <row r="32" spans="2:15" x14ac:dyDescent="0.25">
      <c r="B32" s="4" t="s">
        <v>40</v>
      </c>
      <c r="C32" s="4">
        <f>C19-C24</f>
        <v>1560</v>
      </c>
      <c r="D32" s="2">
        <f>D24</f>
        <v>49</v>
      </c>
      <c r="E32" s="4">
        <f>D32*C32</f>
        <v>76440</v>
      </c>
    </row>
    <row r="33" spans="2:5" x14ac:dyDescent="0.25">
      <c r="B33" s="4" t="s">
        <v>42</v>
      </c>
      <c r="C33" s="4">
        <f>125+40</f>
        <v>165</v>
      </c>
      <c r="D33" s="2">
        <f>E5</f>
        <v>58.333333333333336</v>
      </c>
      <c r="E33" s="4">
        <f>D33*C33</f>
        <v>9625</v>
      </c>
    </row>
    <row r="34" spans="2:5" x14ac:dyDescent="0.25">
      <c r="B34" t="s">
        <v>47</v>
      </c>
      <c r="C34" s="59" t="s">
        <v>48</v>
      </c>
      <c r="D34" s="59"/>
      <c r="E34" s="59"/>
    </row>
    <row r="39" spans="2:5" x14ac:dyDescent="0.25">
      <c r="D39" s="8"/>
    </row>
    <row r="41" spans="2:5" x14ac:dyDescent="0.25">
      <c r="B41" s="4"/>
    </row>
    <row r="46" spans="2:5" x14ac:dyDescent="0.25">
      <c r="D46" s="8"/>
    </row>
  </sheetData>
  <mergeCells count="6">
    <mergeCell ref="C34:E34"/>
    <mergeCell ref="B22:F22"/>
    <mergeCell ref="B1:E2"/>
    <mergeCell ref="H9:J9"/>
    <mergeCell ref="B31:C31"/>
    <mergeCell ref="C28:E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7673-236C-4435-852A-D882A85FF026}">
  <dimension ref="A1:L51"/>
  <sheetViews>
    <sheetView topLeftCell="A19" zoomScale="141" workbookViewId="0">
      <selection activeCell="E25" sqref="E25"/>
    </sheetView>
  </sheetViews>
  <sheetFormatPr defaultRowHeight="15" x14ac:dyDescent="0.25"/>
  <cols>
    <col min="2" max="2" width="20.140625" customWidth="1"/>
    <col min="3" max="3" width="16.5703125" customWidth="1"/>
    <col min="4" max="4" width="16.5703125" style="2" customWidth="1"/>
    <col min="5" max="6" width="16.5703125" style="4" customWidth="1"/>
    <col min="8" max="8" width="28.7109375" style="4" customWidth="1"/>
    <col min="9" max="9" width="16.28515625" style="4" bestFit="1" customWidth="1"/>
    <col min="10" max="10" width="18.5703125" customWidth="1"/>
    <col min="11" max="11" width="18.140625" customWidth="1"/>
    <col min="12" max="12" width="15.42578125" customWidth="1"/>
  </cols>
  <sheetData>
    <row r="1" spans="1:10" x14ac:dyDescent="0.25">
      <c r="B1" s="58" t="s">
        <v>50</v>
      </c>
      <c r="C1" s="58"/>
      <c r="D1" s="58"/>
      <c r="E1" s="58"/>
    </row>
    <row r="2" spans="1:10" x14ac:dyDescent="0.25">
      <c r="B2" s="58"/>
      <c r="C2" s="58"/>
      <c r="D2" s="58"/>
      <c r="E2" s="58"/>
    </row>
    <row r="3" spans="1:10" x14ac:dyDescent="0.25">
      <c r="A3" t="s">
        <v>56</v>
      </c>
      <c r="H3" s="4" t="s">
        <v>13</v>
      </c>
      <c r="I3" s="4">
        <f>(38000*5/3)</f>
        <v>63333.333333333336</v>
      </c>
    </row>
    <row r="4" spans="1:10" x14ac:dyDescent="0.25">
      <c r="B4" s="1" t="s">
        <v>4</v>
      </c>
      <c r="C4" s="1" t="s">
        <v>5</v>
      </c>
      <c r="D4" s="2" t="s">
        <v>27</v>
      </c>
      <c r="E4" s="3" t="s">
        <v>6</v>
      </c>
      <c r="F4" s="5" t="s">
        <v>7</v>
      </c>
      <c r="H4" s="4" t="s">
        <v>24</v>
      </c>
      <c r="I4" s="4">
        <f>(10000/450)*1000</f>
        <v>22222.222222222223</v>
      </c>
    </row>
    <row r="5" spans="1:10" x14ac:dyDescent="0.25">
      <c r="B5" t="s">
        <v>0</v>
      </c>
      <c r="C5">
        <v>1000</v>
      </c>
      <c r="D5" s="7">
        <f>Table1[[#This Row],[QUANTITY]]/Table1[[#Totals],[QUANTITY]]</f>
        <v>0.51308363263211898</v>
      </c>
      <c r="E5" s="2">
        <f>I3/1000</f>
        <v>63.333333333333336</v>
      </c>
      <c r="F5" s="4">
        <f t="shared" ref="F5:F17" si="0">E5*C5</f>
        <v>63333.333333333336</v>
      </c>
      <c r="H5" t="s">
        <v>26</v>
      </c>
      <c r="I5" s="4">
        <v>8000</v>
      </c>
    </row>
    <row r="6" spans="1:10" x14ac:dyDescent="0.25">
      <c r="B6" t="s">
        <v>25</v>
      </c>
      <c r="C6">
        <v>200</v>
      </c>
      <c r="D6" s="7">
        <f>Table1[[#This Row],[QUANTITY]]/Table1[[#Totals],[QUANTITY]]</f>
        <v>0.10261672652642381</v>
      </c>
      <c r="E6" s="2">
        <v>32</v>
      </c>
      <c r="F6" s="4">
        <f t="shared" si="0"/>
        <v>6400</v>
      </c>
    </row>
    <row r="7" spans="1:10" x14ac:dyDescent="0.25">
      <c r="B7" t="s">
        <v>2</v>
      </c>
      <c r="C7">
        <v>98</v>
      </c>
      <c r="D7" s="7">
        <f>Table1[[#This Row],[QUANTITY]]/Table1[[#Totals],[QUANTITY]]</f>
        <v>5.0282195997947664E-2</v>
      </c>
      <c r="E7" s="2">
        <f>I4/1000</f>
        <v>22.222222222222221</v>
      </c>
      <c r="F7" s="4">
        <f t="shared" si="0"/>
        <v>2177.7777777777778</v>
      </c>
    </row>
    <row r="8" spans="1:10" x14ac:dyDescent="0.25">
      <c r="B8" t="s">
        <v>8</v>
      </c>
      <c r="C8">
        <v>275</v>
      </c>
      <c r="D8" s="7">
        <f>Table1[[#This Row],[QUANTITY]]/Table1[[#Totals],[QUANTITY]]</f>
        <v>0.14109799897383274</v>
      </c>
      <c r="E8" s="2">
        <v>13</v>
      </c>
      <c r="F8" s="4">
        <f t="shared" si="0"/>
        <v>3575</v>
      </c>
    </row>
    <row r="9" spans="1:10" x14ac:dyDescent="0.25">
      <c r="B9" t="s">
        <v>17</v>
      </c>
      <c r="C9">
        <v>5</v>
      </c>
      <c r="D9" s="7">
        <f>Table1[[#This Row],[QUANTITY]]/Table1[[#Totals],[QUANTITY]]</f>
        <v>2.5654181631605951E-3</v>
      </c>
      <c r="E9" s="2">
        <v>18</v>
      </c>
      <c r="F9" s="4">
        <f t="shared" si="0"/>
        <v>90</v>
      </c>
      <c r="H9" s="59" t="s">
        <v>51</v>
      </c>
      <c r="I9" s="59"/>
      <c r="J9" s="59"/>
    </row>
    <row r="10" spans="1:10" x14ac:dyDescent="0.25">
      <c r="B10" t="s">
        <v>36</v>
      </c>
      <c r="C10">
        <v>90</v>
      </c>
      <c r="D10" s="7">
        <f>Table1[[#This Row],[QUANTITY]]/Table1[[#Totals],[QUANTITY]]</f>
        <v>4.6177526936890714E-2</v>
      </c>
      <c r="E10" s="4">
        <v>35</v>
      </c>
      <c r="F10" s="4">
        <f t="shared" si="0"/>
        <v>3150</v>
      </c>
      <c r="H10" t="s">
        <v>46</v>
      </c>
      <c r="I10">
        <v>153</v>
      </c>
      <c r="J10" s="2">
        <f>(I5*6)/I10</f>
        <v>313.72549019607845</v>
      </c>
    </row>
    <row r="11" spans="1:10" x14ac:dyDescent="0.25">
      <c r="B11" t="s">
        <v>9</v>
      </c>
      <c r="C11">
        <v>19</v>
      </c>
      <c r="D11" s="7">
        <f>Table1[[#This Row],[QUANTITY]]/Table1[[#Totals],[QUANTITY]]</f>
        <v>9.748589020010261E-3</v>
      </c>
      <c r="E11" s="2">
        <v>54</v>
      </c>
      <c r="F11" s="4">
        <f t="shared" si="0"/>
        <v>1026</v>
      </c>
      <c r="H11" t="s">
        <v>31</v>
      </c>
      <c r="I11">
        <f>80+60+6+7</f>
        <v>153</v>
      </c>
      <c r="J11" s="2" t="e">
        <f>(E26+#REF!+#REF!+E35)+(F20+J10)/I11</f>
        <v>#REF!</v>
      </c>
    </row>
    <row r="12" spans="1:10" x14ac:dyDescent="0.25">
      <c r="B12" t="s">
        <v>10</v>
      </c>
      <c r="C12">
        <v>9</v>
      </c>
      <c r="D12" s="7">
        <f>Table1[[#This Row],[QUANTITY]]/Table1[[#Totals],[QUANTITY]]</f>
        <v>4.6177526936890716E-3</v>
      </c>
      <c r="E12" s="2">
        <v>19</v>
      </c>
      <c r="F12" s="4">
        <f t="shared" si="0"/>
        <v>171</v>
      </c>
    </row>
    <row r="13" spans="1:10" x14ac:dyDescent="0.25">
      <c r="B13" t="s">
        <v>11</v>
      </c>
      <c r="C13">
        <v>20</v>
      </c>
      <c r="D13" s="7">
        <f>Table1[[#This Row],[QUANTITY]]/Table1[[#Totals],[QUANTITY]]</f>
        <v>1.0261672652642381E-2</v>
      </c>
      <c r="E13" s="2">
        <v>10</v>
      </c>
      <c r="F13" s="4">
        <f t="shared" si="0"/>
        <v>200</v>
      </c>
    </row>
    <row r="14" spans="1:10" x14ac:dyDescent="0.25">
      <c r="B14" t="s">
        <v>12</v>
      </c>
      <c r="C14">
        <v>5</v>
      </c>
      <c r="D14" s="7">
        <f>Table1[[#This Row],[QUANTITY]]/Table1[[#Totals],[QUANTITY]]</f>
        <v>2.5654181631605951E-3</v>
      </c>
      <c r="E14" s="2">
        <v>162.5</v>
      </c>
      <c r="F14" s="4">
        <f t="shared" si="0"/>
        <v>812.5</v>
      </c>
    </row>
    <row r="15" spans="1:10" x14ac:dyDescent="0.25">
      <c r="B15" t="s">
        <v>15</v>
      </c>
      <c r="C15">
        <v>16</v>
      </c>
      <c r="D15" s="7">
        <f>Table1[[#This Row],[QUANTITY]]/Table1[[#Totals],[QUANTITY]]</f>
        <v>8.2093381221139041E-3</v>
      </c>
      <c r="E15" s="2">
        <v>665</v>
      </c>
      <c r="F15" s="4">
        <f t="shared" si="0"/>
        <v>10640</v>
      </c>
    </row>
    <row r="16" spans="1:10" x14ac:dyDescent="0.25">
      <c r="B16" t="s">
        <v>16</v>
      </c>
      <c r="C16">
        <v>12</v>
      </c>
      <c r="D16" s="7">
        <f>Table1[[#This Row],[QUANTITY]]/Table1[[#Totals],[QUANTITY]]</f>
        <v>6.1570035915854285E-3</v>
      </c>
      <c r="E16" s="2">
        <v>338</v>
      </c>
      <c r="F16" s="4">
        <f t="shared" si="0"/>
        <v>4056</v>
      </c>
    </row>
    <row r="17" spans="2:11" x14ac:dyDescent="0.25">
      <c r="B17" t="s">
        <v>37</v>
      </c>
      <c r="C17" s="6">
        <v>200</v>
      </c>
      <c r="D17" s="7">
        <f>Table1[[#This Row],[QUANTITY]]/Table1[[#Totals],[QUANTITY]]</f>
        <v>0.10261672652642381</v>
      </c>
      <c r="E17" s="4">
        <v>22</v>
      </c>
      <c r="F17" s="4">
        <f t="shared" si="0"/>
        <v>4400</v>
      </c>
    </row>
    <row r="18" spans="2:11" x14ac:dyDescent="0.25">
      <c r="B18" t="s">
        <v>58</v>
      </c>
      <c r="C18">
        <f>SUBTOTAL(109,Table1[QUANTITY])</f>
        <v>1949</v>
      </c>
      <c r="D18" s="12">
        <f>SUBTOTAL(109,Table1[PERSEN])</f>
        <v>0.99999999999999989</v>
      </c>
      <c r="E18" s="2">
        <f>SUBTOTAL(109,Table1[HARGA])</f>
        <v>1454.0555555555557</v>
      </c>
      <c r="F18" s="4">
        <f>SUBTOTAL(109,Table1[TOTAL])</f>
        <v>100031.61111111112</v>
      </c>
    </row>
    <row r="19" spans="2:11" x14ac:dyDescent="0.25">
      <c r="G19" s="2"/>
    </row>
    <row r="20" spans="2:11" ht="15" customHeight="1" x14ac:dyDescent="0.25">
      <c r="C20" s="9"/>
      <c r="D20" s="7"/>
    </row>
    <row r="21" spans="2:11" ht="15" customHeight="1" x14ac:dyDescent="0.25">
      <c r="B21" s="10"/>
      <c r="C21" s="10"/>
      <c r="D21" s="10"/>
      <c r="E21" s="10"/>
    </row>
    <row r="22" spans="2:11" ht="26.25" x14ac:dyDescent="0.25">
      <c r="B22" s="10"/>
      <c r="C22" s="10"/>
      <c r="D22" s="10"/>
      <c r="E22" s="10"/>
      <c r="K22" s="2"/>
    </row>
    <row r="23" spans="2:11" ht="21" x14ac:dyDescent="0.35">
      <c r="B23" s="60" t="s">
        <v>57</v>
      </c>
      <c r="C23" s="60"/>
      <c r="D23" s="60"/>
      <c r="E23" s="60"/>
      <c r="F23" s="13"/>
    </row>
    <row r="24" spans="2:11" x14ac:dyDescent="0.25">
      <c r="B24" s="1" t="s">
        <v>4</v>
      </c>
      <c r="C24" s="1" t="s">
        <v>5</v>
      </c>
      <c r="D24" s="3" t="s">
        <v>6</v>
      </c>
      <c r="E24" s="4" t="s">
        <v>7</v>
      </c>
      <c r="K24" s="2"/>
    </row>
    <row r="25" spans="2:11" x14ac:dyDescent="0.25">
      <c r="B25" t="s">
        <v>40</v>
      </c>
      <c r="C25" s="6">
        <f>Table1[[#Totals],[QUANTITY]]</f>
        <v>1949</v>
      </c>
      <c r="D25" s="2">
        <f>Table1[[#Totals],[TOTAL]]/C25</f>
        <v>51.324582406932336</v>
      </c>
      <c r="E25" s="4">
        <f>C25*D25</f>
        <v>100031.61111111112</v>
      </c>
    </row>
    <row r="26" spans="2:11" x14ac:dyDescent="0.25">
      <c r="B26" t="s">
        <v>59</v>
      </c>
      <c r="C26" s="6">
        <v>5.4</v>
      </c>
      <c r="D26" s="2">
        <f>Table1[[#Totals],[TOTAL]]/C26</f>
        <v>18524.372427983541</v>
      </c>
      <c r="E26" s="4">
        <f>C26*D26</f>
        <v>100031.61111111112</v>
      </c>
    </row>
    <row r="27" spans="2:11" x14ac:dyDescent="0.25">
      <c r="B27" t="s">
        <v>58</v>
      </c>
      <c r="D27"/>
      <c r="E27" s="4">
        <f>SUBTOTAL(109,Table2[TOTAL])</f>
        <v>200063.22222222225</v>
      </c>
    </row>
    <row r="28" spans="2:11" x14ac:dyDescent="0.25">
      <c r="B28" t="s">
        <v>61</v>
      </c>
      <c r="C28">
        <v>156</v>
      </c>
    </row>
    <row r="29" spans="2:11" x14ac:dyDescent="0.25">
      <c r="B29" t="s">
        <v>60</v>
      </c>
      <c r="C29" s="61">
        <f>Table2[[#Totals],[TOTAL]]/C28</f>
        <v>1282.4565527065529</v>
      </c>
      <c r="D29" s="59"/>
      <c r="E29" s="59"/>
    </row>
    <row r="32" spans="2:11" x14ac:dyDescent="0.25">
      <c r="B32" s="58" t="s">
        <v>14</v>
      </c>
      <c r="C32" s="58"/>
      <c r="D32" s="58"/>
      <c r="E32" s="58"/>
    </row>
    <row r="33" spans="2:12" x14ac:dyDescent="0.25">
      <c r="B33" s="58"/>
      <c r="C33" s="58"/>
      <c r="D33" s="58"/>
      <c r="E33" s="58"/>
    </row>
    <row r="34" spans="2:12" x14ac:dyDescent="0.25">
      <c r="B34" t="s">
        <v>62</v>
      </c>
      <c r="C34">
        <v>25</v>
      </c>
      <c r="D34" s="2">
        <v>23000</v>
      </c>
      <c r="F34" s="4" t="s">
        <v>22</v>
      </c>
      <c r="H34" s="2"/>
      <c r="J34" s="4" t="s">
        <v>22</v>
      </c>
      <c r="L34" s="2"/>
    </row>
    <row r="35" spans="2:12" x14ac:dyDescent="0.25">
      <c r="B35" t="s">
        <v>19</v>
      </c>
      <c r="C35">
        <v>50</v>
      </c>
      <c r="D35" s="2">
        <v>24500</v>
      </c>
      <c r="F35" t="s">
        <v>29</v>
      </c>
      <c r="G35">
        <v>10</v>
      </c>
      <c r="H35" s="2">
        <f>$C$29*G35</f>
        <v>12824.56552706553</v>
      </c>
      <c r="J35" t="s">
        <v>29</v>
      </c>
      <c r="K35">
        <v>6</v>
      </c>
      <c r="L35" s="2">
        <f>$C$29*K35</f>
        <v>7694.7393162393173</v>
      </c>
    </row>
    <row r="36" spans="2:12" x14ac:dyDescent="0.25">
      <c r="B36" t="s">
        <v>20</v>
      </c>
      <c r="C36">
        <v>50</v>
      </c>
      <c r="D36" s="2">
        <v>10000</v>
      </c>
      <c r="F36" t="s">
        <v>18</v>
      </c>
      <c r="G36">
        <v>1</v>
      </c>
      <c r="H36" s="2">
        <f>$D$34/$C$34</f>
        <v>920</v>
      </c>
      <c r="J36" t="s">
        <v>18</v>
      </c>
      <c r="K36">
        <v>1</v>
      </c>
      <c r="L36" s="2">
        <f>$D$34/$C$34</f>
        <v>920</v>
      </c>
    </row>
    <row r="37" spans="2:12" x14ac:dyDescent="0.25">
      <c r="B37" t="s">
        <v>21</v>
      </c>
      <c r="C37">
        <v>25</v>
      </c>
      <c r="D37" s="2">
        <v>26000</v>
      </c>
      <c r="F37" t="s">
        <v>19</v>
      </c>
      <c r="G37">
        <v>1</v>
      </c>
      <c r="H37" s="2">
        <f>$D$35/$C$35</f>
        <v>490</v>
      </c>
      <c r="J37" t="s">
        <v>19</v>
      </c>
      <c r="K37">
        <v>1</v>
      </c>
      <c r="L37" s="2">
        <f>$D$35/$C$35</f>
        <v>490</v>
      </c>
    </row>
    <row r="38" spans="2:12" x14ac:dyDescent="0.25">
      <c r="F38" t="s">
        <v>20</v>
      </c>
      <c r="G38">
        <v>1</v>
      </c>
      <c r="H38" s="2">
        <f>$D$36/$C$36</f>
        <v>200</v>
      </c>
      <c r="J38" t="s">
        <v>20</v>
      </c>
      <c r="K38">
        <v>1</v>
      </c>
      <c r="L38" s="2">
        <f>$D$36/$C$36</f>
        <v>200</v>
      </c>
    </row>
    <row r="39" spans="2:12" x14ac:dyDescent="0.25">
      <c r="F39" t="s">
        <v>32</v>
      </c>
      <c r="H39" s="2">
        <f>SUM(H35:H38)</f>
        <v>14434.56552706553</v>
      </c>
      <c r="J39" t="s">
        <v>32</v>
      </c>
      <c r="L39" s="2">
        <f>SUM(L35:L38)</f>
        <v>9304.7393162393164</v>
      </c>
    </row>
    <row r="40" spans="2:12" x14ac:dyDescent="0.25">
      <c r="B40" s="14" t="s">
        <v>23</v>
      </c>
      <c r="C40" s="15"/>
      <c r="D40" s="16"/>
      <c r="F40" t="s">
        <v>34</v>
      </c>
      <c r="H40" s="2">
        <v>25000</v>
      </c>
      <c r="J40" t="s">
        <v>34</v>
      </c>
      <c r="L40" s="2">
        <v>15000</v>
      </c>
    </row>
    <row r="41" spans="2:12" x14ac:dyDescent="0.25">
      <c r="B41" s="15" t="s">
        <v>29</v>
      </c>
      <c r="C41" s="15">
        <v>10</v>
      </c>
      <c r="D41" s="16">
        <f>C29*C41</f>
        <v>12824.56552706553</v>
      </c>
      <c r="F41" t="s">
        <v>35</v>
      </c>
      <c r="H41" s="8">
        <f>(H39/H40)</f>
        <v>0.57738262108262117</v>
      </c>
      <c r="J41" t="s">
        <v>35</v>
      </c>
      <c r="L41" s="8">
        <f>(L39/L40)</f>
        <v>0.62031595441595444</v>
      </c>
    </row>
    <row r="42" spans="2:12" x14ac:dyDescent="0.25">
      <c r="B42" s="15" t="s">
        <v>21</v>
      </c>
      <c r="C42" s="15">
        <v>1</v>
      </c>
      <c r="D42" s="16">
        <f>(26000/25)*C42</f>
        <v>1040</v>
      </c>
      <c r="F42"/>
      <c r="H42" s="2"/>
    </row>
    <row r="43" spans="2:12" x14ac:dyDescent="0.25">
      <c r="B43" s="15" t="s">
        <v>19</v>
      </c>
      <c r="C43" s="15">
        <v>1</v>
      </c>
      <c r="D43" s="16">
        <f>$D$35/$C$35</f>
        <v>490</v>
      </c>
    </row>
    <row r="44" spans="2:12" x14ac:dyDescent="0.25">
      <c r="B44" t="s">
        <v>20</v>
      </c>
      <c r="C44">
        <v>1</v>
      </c>
      <c r="D44" s="2">
        <f>$D$36/$C$36</f>
        <v>200</v>
      </c>
      <c r="F44" s="14" t="s">
        <v>22</v>
      </c>
      <c r="G44" s="15"/>
      <c r="H44" s="16"/>
    </row>
    <row r="45" spans="2:12" x14ac:dyDescent="0.25">
      <c r="B45" t="s">
        <v>30</v>
      </c>
      <c r="D45" s="2">
        <f>SUM(D41:D44)</f>
        <v>14554.56552706553</v>
      </c>
      <c r="F45" s="15" t="s">
        <v>29</v>
      </c>
      <c r="G45" s="15">
        <v>8</v>
      </c>
      <c r="H45" s="16">
        <f>$C$29*G45</f>
        <v>10259.652421652423</v>
      </c>
    </row>
    <row r="46" spans="2:12" x14ac:dyDescent="0.25">
      <c r="B46" t="s">
        <v>34</v>
      </c>
      <c r="D46" s="2">
        <v>25000</v>
      </c>
      <c r="F46" s="15" t="s">
        <v>18</v>
      </c>
      <c r="G46" s="15">
        <v>1</v>
      </c>
      <c r="H46" s="16">
        <f>$D$34/$C$34</f>
        <v>920</v>
      </c>
    </row>
    <row r="47" spans="2:12" x14ac:dyDescent="0.25">
      <c r="B47" t="s">
        <v>35</v>
      </c>
      <c r="D47" s="8">
        <f>D45/D46</f>
        <v>0.5821826210826212</v>
      </c>
      <c r="F47" s="15" t="s">
        <v>19</v>
      </c>
      <c r="G47" s="15">
        <v>1</v>
      </c>
      <c r="H47" s="16">
        <f>$D$35/$C$35</f>
        <v>490</v>
      </c>
    </row>
    <row r="48" spans="2:12" x14ac:dyDescent="0.25">
      <c r="F48" s="15" t="s">
        <v>20</v>
      </c>
      <c r="G48" s="15">
        <v>1</v>
      </c>
      <c r="H48" s="16">
        <f>$D$36/$C$36</f>
        <v>200</v>
      </c>
    </row>
    <row r="49" spans="6:8" x14ac:dyDescent="0.25">
      <c r="F49" s="15" t="s">
        <v>32</v>
      </c>
      <c r="G49" s="15"/>
      <c r="H49" s="16">
        <f>SUM(H45:H48)</f>
        <v>11869.652421652423</v>
      </c>
    </row>
    <row r="50" spans="6:8" x14ac:dyDescent="0.25">
      <c r="F50" s="15" t="s">
        <v>34</v>
      </c>
      <c r="G50" s="15"/>
      <c r="H50" s="16">
        <v>20000</v>
      </c>
    </row>
    <row r="51" spans="6:8" x14ac:dyDescent="0.25">
      <c r="F51" s="15" t="s">
        <v>35</v>
      </c>
      <c r="G51" s="15"/>
      <c r="H51" s="17">
        <f>(H49/H50)</f>
        <v>0.59348262108262118</v>
      </c>
    </row>
  </sheetData>
  <mergeCells count="5">
    <mergeCell ref="B23:E23"/>
    <mergeCell ref="B32:E33"/>
    <mergeCell ref="B1:E2"/>
    <mergeCell ref="H9:J9"/>
    <mergeCell ref="C29:E29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4C37-28E8-47FD-83E7-5A7D661B028E}">
  <dimension ref="A1:N53"/>
  <sheetViews>
    <sheetView topLeftCell="A4" zoomScale="114" workbookViewId="0">
      <selection activeCell="L3" sqref="L3"/>
    </sheetView>
  </sheetViews>
  <sheetFormatPr defaultRowHeight="15" x14ac:dyDescent="0.25"/>
  <cols>
    <col min="1" max="1" width="5.5703125" customWidth="1"/>
    <col min="2" max="2" width="20.140625" customWidth="1"/>
    <col min="3" max="3" width="16.5703125" customWidth="1"/>
    <col min="4" max="4" width="16.5703125" style="2" customWidth="1"/>
    <col min="5" max="6" width="16.5703125" style="4" customWidth="1"/>
    <col min="7" max="7" width="10.140625" customWidth="1"/>
    <col min="8" max="8" width="28.7109375" style="4" customWidth="1"/>
    <col min="9" max="9" width="16.42578125" style="4" bestFit="1" customWidth="1"/>
    <col min="10" max="10" width="18.5703125" customWidth="1"/>
    <col min="11" max="11" width="6.42578125" customWidth="1"/>
    <col min="12" max="12" width="28.7109375" style="4" customWidth="1"/>
    <col min="13" max="13" width="16.42578125" style="4" bestFit="1" customWidth="1"/>
    <col min="14" max="14" width="18.5703125" customWidth="1"/>
  </cols>
  <sheetData>
    <row r="1" spans="1:14" x14ac:dyDescent="0.25">
      <c r="B1" s="58" t="s">
        <v>63</v>
      </c>
      <c r="C1" s="58"/>
      <c r="D1" s="58"/>
      <c r="E1" s="58"/>
    </row>
    <row r="2" spans="1:14" x14ac:dyDescent="0.25">
      <c r="B2" s="58"/>
      <c r="C2" s="58"/>
      <c r="D2" s="58"/>
      <c r="E2" s="58"/>
      <c r="H2" s="32" t="s">
        <v>112</v>
      </c>
      <c r="I2" s="32" t="s">
        <v>5</v>
      </c>
      <c r="J2" s="25" t="s">
        <v>6</v>
      </c>
      <c r="K2" s="34" t="s">
        <v>113</v>
      </c>
      <c r="L2" s="32" t="s">
        <v>114</v>
      </c>
    </row>
    <row r="3" spans="1:14" x14ac:dyDescent="0.25">
      <c r="A3" s="62">
        <v>46335</v>
      </c>
      <c r="B3" s="62"/>
      <c r="H3" s="32" t="s">
        <v>13</v>
      </c>
      <c r="I3" s="25">
        <v>5</v>
      </c>
      <c r="J3" s="25">
        <v>40000</v>
      </c>
      <c r="K3" s="34">
        <f>4/I3</f>
        <v>0.8</v>
      </c>
      <c r="L3" s="32">
        <f>(J3*5/3)</f>
        <v>66666.666666666672</v>
      </c>
    </row>
    <row r="4" spans="1:14" x14ac:dyDescent="0.25">
      <c r="B4" s="1" t="s">
        <v>4</v>
      </c>
      <c r="C4" s="1" t="s">
        <v>5</v>
      </c>
      <c r="D4" s="2" t="s">
        <v>27</v>
      </c>
      <c r="E4" s="3" t="s">
        <v>6</v>
      </c>
      <c r="F4" s="5" t="s">
        <v>7</v>
      </c>
      <c r="H4" s="32" t="s">
        <v>24</v>
      </c>
      <c r="I4" s="25">
        <v>1</v>
      </c>
      <c r="J4" s="25">
        <v>12000</v>
      </c>
      <c r="K4" s="34">
        <f>0.45/1</f>
        <v>0.45</v>
      </c>
      <c r="L4" s="32">
        <f>(12000/450)*1000</f>
        <v>26666.666666666668</v>
      </c>
    </row>
    <row r="5" spans="1:14" x14ac:dyDescent="0.25">
      <c r="B5" t="s">
        <v>0</v>
      </c>
      <c r="C5">
        <v>1025</v>
      </c>
      <c r="D5" s="7">
        <f>Table14[[#This Row],[QUANTITY]]/Table14[[#Totals],[QUANTITY]]</f>
        <v>0.47497683039851712</v>
      </c>
      <c r="E5" s="2">
        <f>L3/1000</f>
        <v>66.666666666666671</v>
      </c>
      <c r="F5" s="4">
        <f t="shared" ref="F5:F17" si="0">E5*C5</f>
        <v>68333.333333333343</v>
      </c>
      <c r="H5" s="25" t="s">
        <v>8</v>
      </c>
      <c r="I5" s="25">
        <v>1</v>
      </c>
      <c r="J5" s="25">
        <v>13000</v>
      </c>
      <c r="K5" s="34">
        <f>0.8/1</f>
        <v>0.8</v>
      </c>
      <c r="L5" s="25">
        <f>J5/800</f>
        <v>16.25</v>
      </c>
    </row>
    <row r="6" spans="1:14" x14ac:dyDescent="0.25">
      <c r="B6" t="s">
        <v>25</v>
      </c>
      <c r="C6">
        <v>200</v>
      </c>
      <c r="D6" s="7">
        <f>Table14[[#This Row],[QUANTITY]]/Table14[[#Totals],[QUANTITY]]</f>
        <v>9.2678405931417976E-2</v>
      </c>
      <c r="E6" s="2">
        <v>32</v>
      </c>
      <c r="F6" s="4">
        <f t="shared" si="0"/>
        <v>6400</v>
      </c>
      <c r="H6" s="25" t="s">
        <v>26</v>
      </c>
      <c r="I6" s="32"/>
      <c r="J6" s="25"/>
      <c r="K6" s="34"/>
      <c r="L6" s="32">
        <v>7500</v>
      </c>
    </row>
    <row r="7" spans="1:14" x14ac:dyDescent="0.25">
      <c r="B7" t="s">
        <v>2</v>
      </c>
      <c r="C7">
        <v>135</v>
      </c>
      <c r="D7" s="7">
        <f>Table14[[#This Row],[QUANTITY]]/Table14[[#Totals],[QUANTITY]]</f>
        <v>6.2557924003707133E-2</v>
      </c>
      <c r="E7" s="2">
        <f>L4/1000</f>
        <v>26.666666666666668</v>
      </c>
      <c r="F7" s="4">
        <f t="shared" si="0"/>
        <v>3600</v>
      </c>
    </row>
    <row r="8" spans="1:14" x14ac:dyDescent="0.25">
      <c r="B8" t="s">
        <v>8</v>
      </c>
      <c r="C8">
        <v>400</v>
      </c>
      <c r="D8" s="7">
        <f>Table14[[#This Row],[QUANTITY]]/Table14[[#Totals],[QUANTITY]]</f>
        <v>0.18535681186283595</v>
      </c>
      <c r="E8" s="2">
        <f>L5</f>
        <v>16.25</v>
      </c>
      <c r="F8" s="4">
        <f t="shared" si="0"/>
        <v>6500</v>
      </c>
      <c r="H8" s="58" t="s">
        <v>14</v>
      </c>
      <c r="I8" s="58"/>
      <c r="J8" s="58"/>
      <c r="K8" s="58"/>
      <c r="L8"/>
      <c r="M8"/>
    </row>
    <row r="9" spans="1:14" x14ac:dyDescent="0.25">
      <c r="B9" t="s">
        <v>17</v>
      </c>
      <c r="D9" s="7">
        <f>Table14[[#This Row],[QUANTITY]]/Table14[[#Totals],[QUANTITY]]</f>
        <v>0</v>
      </c>
      <c r="E9" s="2">
        <v>18</v>
      </c>
      <c r="F9" s="4">
        <f t="shared" si="0"/>
        <v>0</v>
      </c>
      <c r="H9" s="58"/>
      <c r="I9" s="58"/>
      <c r="J9" s="58"/>
      <c r="K9" s="58"/>
      <c r="L9"/>
      <c r="M9"/>
    </row>
    <row r="10" spans="1:14" x14ac:dyDescent="0.25">
      <c r="B10" t="s">
        <v>36</v>
      </c>
      <c r="C10">
        <v>130</v>
      </c>
      <c r="D10" s="7">
        <f>Table14[[#This Row],[QUANTITY]]/Table14[[#Totals],[QUANTITY]]</f>
        <v>6.0240963855421686E-2</v>
      </c>
      <c r="E10" s="4">
        <v>35</v>
      </c>
      <c r="F10" s="4">
        <f t="shared" si="0"/>
        <v>4550</v>
      </c>
      <c r="H10" t="s">
        <v>62</v>
      </c>
      <c r="I10" s="24">
        <v>50</v>
      </c>
      <c r="J10" s="4">
        <v>44000</v>
      </c>
      <c r="K10" s="4"/>
      <c r="L10"/>
      <c r="M10" s="24"/>
      <c r="N10" s="4"/>
    </row>
    <row r="11" spans="1:14" x14ac:dyDescent="0.25">
      <c r="B11" t="s">
        <v>9</v>
      </c>
      <c r="C11">
        <v>5</v>
      </c>
      <c r="D11" s="7">
        <f>Table14[[#This Row],[QUANTITY]]/Table14[[#Totals],[QUANTITY]]</f>
        <v>2.3169601482854493E-3</v>
      </c>
      <c r="E11" s="2">
        <v>54</v>
      </c>
      <c r="F11" s="4">
        <f t="shared" si="0"/>
        <v>270</v>
      </c>
      <c r="H11" t="s">
        <v>71</v>
      </c>
      <c r="I11" s="24">
        <v>50</v>
      </c>
      <c r="J11" s="4">
        <v>40000</v>
      </c>
      <c r="K11" s="4"/>
      <c r="L11"/>
      <c r="M11" s="24"/>
      <c r="N11" s="4"/>
    </row>
    <row r="12" spans="1:14" x14ac:dyDescent="0.25">
      <c r="B12" t="s">
        <v>10</v>
      </c>
      <c r="C12">
        <v>9</v>
      </c>
      <c r="D12" s="7">
        <f>Table14[[#This Row],[QUANTITY]]/Table14[[#Totals],[QUANTITY]]</f>
        <v>4.1705282669138094E-3</v>
      </c>
      <c r="E12" s="2">
        <v>19</v>
      </c>
      <c r="F12" s="4">
        <f t="shared" si="0"/>
        <v>171</v>
      </c>
      <c r="H12" t="s">
        <v>19</v>
      </c>
      <c r="I12" s="24">
        <v>50</v>
      </c>
      <c r="J12" s="4">
        <v>24500</v>
      </c>
      <c r="K12" s="4"/>
      <c r="L12"/>
      <c r="M12" s="24"/>
      <c r="N12" s="4"/>
    </row>
    <row r="13" spans="1:14" x14ac:dyDescent="0.25">
      <c r="B13" t="s">
        <v>11</v>
      </c>
      <c r="C13">
        <v>20</v>
      </c>
      <c r="D13" s="7">
        <f>Table14[[#This Row],[QUANTITY]]/Table14[[#Totals],[QUANTITY]]</f>
        <v>9.2678405931417972E-3</v>
      </c>
      <c r="E13" s="2">
        <v>10</v>
      </c>
      <c r="F13" s="4">
        <f t="shared" si="0"/>
        <v>200</v>
      </c>
      <c r="H13" t="s">
        <v>20</v>
      </c>
      <c r="I13" s="24">
        <v>50</v>
      </c>
      <c r="J13" s="4">
        <v>10000</v>
      </c>
      <c r="K13" s="4"/>
      <c r="L13"/>
      <c r="M13" s="24"/>
      <c r="N13" s="4"/>
    </row>
    <row r="14" spans="1:14" x14ac:dyDescent="0.25">
      <c r="B14" t="s">
        <v>12</v>
      </c>
      <c r="C14">
        <v>5</v>
      </c>
      <c r="D14" s="7">
        <f>Table14[[#This Row],[QUANTITY]]/Table14[[#Totals],[QUANTITY]]</f>
        <v>2.3169601482854493E-3</v>
      </c>
      <c r="E14" s="2">
        <v>162.5</v>
      </c>
      <c r="F14" s="4">
        <f t="shared" si="0"/>
        <v>812.5</v>
      </c>
      <c r="H14" t="s">
        <v>21</v>
      </c>
      <c r="I14" s="24">
        <v>25</v>
      </c>
      <c r="J14" s="4">
        <v>26000</v>
      </c>
      <c r="K14" s="4"/>
      <c r="L14"/>
      <c r="M14" s="24"/>
      <c r="N14" s="4"/>
    </row>
    <row r="15" spans="1:14" x14ac:dyDescent="0.25">
      <c r="B15" t="s">
        <v>15</v>
      </c>
      <c r="C15">
        <v>16</v>
      </c>
      <c r="D15" s="7">
        <f>Table14[[#This Row],[QUANTITY]]/Table14[[#Totals],[QUANTITY]]</f>
        <v>7.4142724745134385E-3</v>
      </c>
      <c r="E15" s="2">
        <v>665</v>
      </c>
      <c r="F15" s="4">
        <f t="shared" si="0"/>
        <v>10640</v>
      </c>
      <c r="H15" t="s">
        <v>72</v>
      </c>
      <c r="I15" s="24">
        <v>77</v>
      </c>
      <c r="J15" s="4">
        <v>10000</v>
      </c>
      <c r="K15" s="4"/>
      <c r="L15"/>
      <c r="M15" s="24"/>
      <c r="N15" s="4"/>
    </row>
    <row r="16" spans="1:14" x14ac:dyDescent="0.25">
      <c r="B16" t="s">
        <v>16</v>
      </c>
      <c r="C16">
        <v>12</v>
      </c>
      <c r="D16" s="7">
        <f>Table14[[#This Row],[QUANTITY]]/Table14[[#Totals],[QUANTITY]]</f>
        <v>5.5607043558850789E-3</v>
      </c>
      <c r="E16" s="2">
        <v>338</v>
      </c>
      <c r="F16" s="4">
        <f t="shared" si="0"/>
        <v>4056</v>
      </c>
      <c r="H16" s="4" t="s">
        <v>73</v>
      </c>
      <c r="I16" s="24">
        <v>5</v>
      </c>
      <c r="J16" s="4">
        <v>38000</v>
      </c>
      <c r="M16" s="24"/>
      <c r="N16" s="4"/>
    </row>
    <row r="17" spans="2:14" x14ac:dyDescent="0.25">
      <c r="B17" t="s">
        <v>37</v>
      </c>
      <c r="C17" s="6">
        <v>200</v>
      </c>
      <c r="D17" s="7">
        <f>Table14[[#This Row],[QUANTITY]]/Table14[[#Totals],[QUANTITY]]</f>
        <v>9.2678405931417976E-2</v>
      </c>
      <c r="E17" s="4">
        <v>22</v>
      </c>
      <c r="F17" s="4">
        <f t="shared" si="0"/>
        <v>4400</v>
      </c>
      <c r="H17" s="4" t="s">
        <v>74</v>
      </c>
      <c r="I17" s="24">
        <v>1</v>
      </c>
      <c r="J17" s="4">
        <v>10000</v>
      </c>
      <c r="M17" s="24"/>
      <c r="N17" s="4"/>
    </row>
    <row r="18" spans="2:14" x14ac:dyDescent="0.25">
      <c r="B18" t="s">
        <v>64</v>
      </c>
      <c r="C18">
        <v>1</v>
      </c>
      <c r="D18" s="18">
        <f>Table14[[#This Row],[QUANTITY]]/Table14[[#Totals],[QUANTITY]]</f>
        <v>4.6339202965708991E-4</v>
      </c>
      <c r="E18" s="2">
        <f>30000/16</f>
        <v>1875</v>
      </c>
      <c r="F18" s="4">
        <f>E18*C18</f>
        <v>1875</v>
      </c>
      <c r="H18" s="4" t="s">
        <v>59</v>
      </c>
      <c r="I18" s="24">
        <v>1</v>
      </c>
      <c r="J18" s="4">
        <v>9000</v>
      </c>
      <c r="M18" s="24"/>
      <c r="N18" s="4"/>
    </row>
    <row r="19" spans="2:14" x14ac:dyDescent="0.25">
      <c r="B19" t="s">
        <v>58</v>
      </c>
      <c r="C19">
        <f>SUBTOTAL(109,Table14[QUANTITY])</f>
        <v>2158</v>
      </c>
      <c r="D19" s="19">
        <f>SUBTOTAL(109,Table14[PERSEN])</f>
        <v>0.99999999999999978</v>
      </c>
      <c r="E19" s="2">
        <f>SUBTOTAL(109,Table14[HARGA])</f>
        <v>3340.0833333333335</v>
      </c>
      <c r="F19" s="4">
        <f>SUBTOTAL(109,Table14[TOTAL])</f>
        <v>111807.83333333334</v>
      </c>
      <c r="G19" s="2"/>
    </row>
    <row r="20" spans="2:14" ht="15" customHeight="1" x14ac:dyDescent="0.25">
      <c r="C20" s="9"/>
      <c r="D20" s="7"/>
    </row>
    <row r="21" spans="2:14" ht="15" customHeight="1" x14ac:dyDescent="0.25">
      <c r="B21" s="10"/>
      <c r="C21" s="10"/>
      <c r="D21" s="10"/>
      <c r="E21" s="10"/>
      <c r="H21" s="61" t="s">
        <v>75</v>
      </c>
      <c r="I21" s="61"/>
      <c r="J21" s="61"/>
      <c r="L21" s="61" t="s">
        <v>78</v>
      </c>
      <c r="M21" s="61"/>
      <c r="N21" s="61"/>
    </row>
    <row r="22" spans="2:14" ht="26.25" x14ac:dyDescent="0.25">
      <c r="B22" s="10"/>
      <c r="C22" s="10"/>
      <c r="D22" s="10"/>
      <c r="E22" s="10"/>
      <c r="H22" t="s">
        <v>66</v>
      </c>
      <c r="I22" t="s">
        <v>5</v>
      </c>
      <c r="J22" s="2" t="s">
        <v>6</v>
      </c>
      <c r="K22" s="2"/>
      <c r="L22" t="s">
        <v>66</v>
      </c>
      <c r="M22" t="s">
        <v>5</v>
      </c>
      <c r="N22" s="2" t="s">
        <v>6</v>
      </c>
    </row>
    <row r="23" spans="2:14" ht="21" x14ac:dyDescent="0.35">
      <c r="B23" s="60" t="s">
        <v>65</v>
      </c>
      <c r="C23" s="60"/>
      <c r="D23" s="60"/>
      <c r="E23" s="60"/>
      <c r="F23" s="13"/>
      <c r="H23" t="s">
        <v>29</v>
      </c>
      <c r="I23">
        <v>10</v>
      </c>
      <c r="J23" s="4">
        <f>$C$29*I23</f>
        <v>9389.0190476190473</v>
      </c>
      <c r="L23" t="s">
        <v>29</v>
      </c>
      <c r="M23">
        <v>7</v>
      </c>
      <c r="N23" s="4">
        <f>$C$29*M23</f>
        <v>6572.3133333333335</v>
      </c>
    </row>
    <row r="24" spans="2:14" x14ac:dyDescent="0.25">
      <c r="B24" s="1" t="s">
        <v>4</v>
      </c>
      <c r="C24" s="1" t="s">
        <v>5</v>
      </c>
      <c r="D24" s="3" t="s">
        <v>6</v>
      </c>
      <c r="E24" s="4" t="s">
        <v>7</v>
      </c>
      <c r="H24" t="s">
        <v>62</v>
      </c>
      <c r="I24">
        <v>1</v>
      </c>
      <c r="J24" s="4">
        <f>$J$10/$I$10</f>
        <v>880</v>
      </c>
      <c r="K24" s="2"/>
      <c r="L24" t="s">
        <v>62</v>
      </c>
      <c r="M24">
        <v>1</v>
      </c>
      <c r="N24" s="4">
        <f>$J$10/$I$10</f>
        <v>880</v>
      </c>
    </row>
    <row r="25" spans="2:14" x14ac:dyDescent="0.25">
      <c r="B25" t="s">
        <v>40</v>
      </c>
      <c r="C25" s="6">
        <f>Table14[[#Totals],[QUANTITY]]</f>
        <v>2158</v>
      </c>
      <c r="D25" s="2">
        <f>Table14[[#Totals],[TOTAL]]/C25</f>
        <v>51.810858819894968</v>
      </c>
      <c r="E25" s="4">
        <f>C25*D25</f>
        <v>111807.83333333334</v>
      </c>
      <c r="H25" t="s">
        <v>19</v>
      </c>
      <c r="I25">
        <v>1</v>
      </c>
      <c r="J25" s="4">
        <f>$J$12/$I$12</f>
        <v>490</v>
      </c>
      <c r="L25" t="s">
        <v>19</v>
      </c>
      <c r="M25">
        <v>1</v>
      </c>
      <c r="N25" s="4">
        <f>$J$12/$I$12</f>
        <v>490</v>
      </c>
    </row>
    <row r="26" spans="2:14" ht="15.75" thickBot="1" x14ac:dyDescent="0.3">
      <c r="B26" t="s">
        <v>59</v>
      </c>
      <c r="C26" s="6">
        <f>11-4</f>
        <v>7</v>
      </c>
      <c r="D26" s="2">
        <f>L6</f>
        <v>7500</v>
      </c>
      <c r="E26" s="4">
        <f>C26*D26</f>
        <v>52500</v>
      </c>
      <c r="H26" t="s">
        <v>20</v>
      </c>
      <c r="I26">
        <v>1</v>
      </c>
      <c r="J26" s="4">
        <f>$J$13/$I$13</f>
        <v>200</v>
      </c>
      <c r="L26" t="s">
        <v>20</v>
      </c>
      <c r="M26">
        <v>1</v>
      </c>
      <c r="N26" s="4">
        <f>$J$13/$I$13</f>
        <v>200</v>
      </c>
    </row>
    <row r="27" spans="2:14" ht="15.75" thickTop="1" x14ac:dyDescent="0.25">
      <c r="B27" t="s">
        <v>79</v>
      </c>
      <c r="D27"/>
      <c r="E27" s="4">
        <f>SUBTOTAL(109,Table25[TOTAL])</f>
        <v>164307.83333333334</v>
      </c>
      <c r="H27" s="21" t="s">
        <v>58</v>
      </c>
      <c r="I27" s="20"/>
      <c r="J27" s="23">
        <f>SUBTOTAL(109,Table5[HARGA])</f>
        <v>10959.019047619047</v>
      </c>
      <c r="L27" s="21" t="s">
        <v>58</v>
      </c>
      <c r="M27" s="20"/>
      <c r="N27" s="23">
        <f>SUBTOTAL(109,Table59[HARGA])</f>
        <v>8142.3133333333335</v>
      </c>
    </row>
    <row r="28" spans="2:14" x14ac:dyDescent="0.25">
      <c r="B28" t="s">
        <v>80</v>
      </c>
      <c r="C28" s="59">
        <v>175</v>
      </c>
      <c r="D28" s="59"/>
      <c r="E28" s="59"/>
      <c r="H28" s="63" t="s">
        <v>70</v>
      </c>
      <c r="I28" s="63"/>
      <c r="J28" s="22">
        <v>25000</v>
      </c>
      <c r="L28" s="63" t="s">
        <v>70</v>
      </c>
      <c r="M28" s="63"/>
      <c r="N28" s="22">
        <v>20000</v>
      </c>
    </row>
    <row r="29" spans="2:14" x14ac:dyDescent="0.25">
      <c r="B29" t="s">
        <v>82</v>
      </c>
      <c r="C29" s="61">
        <f>Table25[[#Totals],[TOTAL]]/C28</f>
        <v>938.9019047619048</v>
      </c>
      <c r="D29" s="59"/>
      <c r="E29" s="59"/>
      <c r="H29" s="64" t="s">
        <v>67</v>
      </c>
      <c r="I29" s="64"/>
      <c r="J29" s="4">
        <f>J28-Table5[[#Totals],[HARGA]]</f>
        <v>14040.980952380953</v>
      </c>
      <c r="L29" s="64" t="s">
        <v>67</v>
      </c>
      <c r="M29" s="64"/>
      <c r="N29" s="4">
        <f>N28-Table59[[#Totals],[HARGA]]</f>
        <v>11857.686666666666</v>
      </c>
    </row>
    <row r="30" spans="2:14" x14ac:dyDescent="0.25">
      <c r="B30" t="s">
        <v>81</v>
      </c>
      <c r="C30" s="61">
        <f>(((176+40)/M23)*N28)</f>
        <v>617142.85714285716</v>
      </c>
      <c r="D30" s="59"/>
      <c r="E30" s="59"/>
      <c r="H30" s="64" t="s">
        <v>68</v>
      </c>
      <c r="I30" s="64"/>
      <c r="J30" s="7">
        <f>J29/J28</f>
        <v>0.56163923809523808</v>
      </c>
      <c r="L30" s="64" t="s">
        <v>68</v>
      </c>
      <c r="M30" s="64"/>
      <c r="N30" s="7">
        <f>N29/N28</f>
        <v>0.59288433333333335</v>
      </c>
    </row>
    <row r="31" spans="2:14" x14ac:dyDescent="0.25">
      <c r="H31" s="65" t="s">
        <v>69</v>
      </c>
      <c r="I31" s="65"/>
      <c r="J31" s="7">
        <f>Table5[[#Totals],[HARGA]]/J28</f>
        <v>0.43836076190476192</v>
      </c>
      <c r="L31" s="65" t="s">
        <v>69</v>
      </c>
      <c r="M31" s="65"/>
      <c r="N31" s="7">
        <f>Table59[[#Totals],[HARGA]]/N28</f>
        <v>0.40711566666666665</v>
      </c>
    </row>
    <row r="34" spans="2:14" x14ac:dyDescent="0.25">
      <c r="H34" s="61" t="s">
        <v>76</v>
      </c>
      <c r="I34" s="61"/>
      <c r="J34" s="61"/>
      <c r="L34" s="61"/>
      <c r="M34" s="61"/>
      <c r="N34" s="61"/>
    </row>
    <row r="35" spans="2:14" x14ac:dyDescent="0.25">
      <c r="H35" t="s">
        <v>66</v>
      </c>
      <c r="I35" t="s">
        <v>5</v>
      </c>
      <c r="J35" s="2" t="s">
        <v>6</v>
      </c>
      <c r="L35"/>
      <c r="M35"/>
      <c r="N35" s="2"/>
    </row>
    <row r="36" spans="2:14" x14ac:dyDescent="0.25">
      <c r="H36" t="s">
        <v>29</v>
      </c>
      <c r="I36">
        <v>10</v>
      </c>
      <c r="J36" s="4">
        <f>$C$29*I36</f>
        <v>9389.0190476190473</v>
      </c>
      <c r="L36"/>
      <c r="M36"/>
      <c r="N36" s="4"/>
    </row>
    <row r="37" spans="2:14" x14ac:dyDescent="0.25">
      <c r="H37" t="s">
        <v>77</v>
      </c>
      <c r="I37">
        <v>1</v>
      </c>
      <c r="J37" s="4">
        <f>$J$10/$I$10</f>
        <v>880</v>
      </c>
      <c r="L37"/>
      <c r="M37"/>
      <c r="N37" s="4"/>
    </row>
    <row r="38" spans="2:14" x14ac:dyDescent="0.25">
      <c r="H38" t="s">
        <v>19</v>
      </c>
      <c r="I38">
        <v>1</v>
      </c>
      <c r="J38" s="4">
        <f>$J$12/$I$12</f>
        <v>490</v>
      </c>
      <c r="L38"/>
      <c r="M38"/>
      <c r="N38" s="4"/>
    </row>
    <row r="39" spans="2:14" ht="15.75" thickBot="1" x14ac:dyDescent="0.3">
      <c r="H39"/>
      <c r="I39"/>
      <c r="J39" s="4"/>
      <c r="L39"/>
      <c r="M39"/>
      <c r="N39" s="4"/>
    </row>
    <row r="40" spans="2:14" ht="15.75" thickTop="1" x14ac:dyDescent="0.25">
      <c r="H40" s="63" t="s">
        <v>70</v>
      </c>
      <c r="I40" s="63"/>
      <c r="J40" s="22">
        <v>25000</v>
      </c>
      <c r="L40" s="21"/>
      <c r="M40" s="20"/>
      <c r="N40" s="23"/>
    </row>
    <row r="41" spans="2:14" x14ac:dyDescent="0.25">
      <c r="H41" s="64" t="s">
        <v>67</v>
      </c>
      <c r="I41" s="64"/>
      <c r="J41" s="4" t="e">
        <f>J40-Table57[[#Totals],[HARGA]]</f>
        <v>#REF!</v>
      </c>
      <c r="L41" s="63"/>
      <c r="M41" s="63"/>
      <c r="N41" s="22"/>
    </row>
    <row r="42" spans="2:14" x14ac:dyDescent="0.25">
      <c r="B42" s="14" t="s">
        <v>23</v>
      </c>
      <c r="C42" s="15"/>
      <c r="D42" s="16"/>
      <c r="H42" s="64" t="s">
        <v>68</v>
      </c>
      <c r="I42" s="64"/>
      <c r="J42" s="7" t="e">
        <f>J41/J40</f>
        <v>#REF!</v>
      </c>
      <c r="L42" s="64"/>
      <c r="M42" s="64"/>
      <c r="N42" s="4"/>
    </row>
    <row r="43" spans="2:14" x14ac:dyDescent="0.25">
      <c r="B43" s="15" t="s">
        <v>29</v>
      </c>
      <c r="C43" s="15">
        <v>10</v>
      </c>
      <c r="D43" s="16">
        <f>C29*C43</f>
        <v>9389.0190476190473</v>
      </c>
      <c r="H43" s="65" t="s">
        <v>69</v>
      </c>
      <c r="I43" s="65"/>
      <c r="J43" s="7" t="e">
        <f>Table57[[#Totals],[HARGA]]/J40</f>
        <v>#REF!</v>
      </c>
      <c r="L43" s="64"/>
      <c r="M43" s="64"/>
      <c r="N43" s="7"/>
    </row>
    <row r="44" spans="2:14" x14ac:dyDescent="0.25">
      <c r="B44" s="15" t="s">
        <v>21</v>
      </c>
      <c r="C44" s="15">
        <v>1</v>
      </c>
      <c r="D44" s="16">
        <f>(26000/25)*C44</f>
        <v>1040</v>
      </c>
      <c r="H44" s="8"/>
      <c r="L44" s="65"/>
      <c r="M44" s="65"/>
      <c r="N44" s="7"/>
    </row>
    <row r="45" spans="2:14" x14ac:dyDescent="0.25">
      <c r="B45" s="15" t="s">
        <v>19</v>
      </c>
      <c r="C45" s="15">
        <v>1</v>
      </c>
      <c r="D45" s="16">
        <f>$J$12/$I$12</f>
        <v>490</v>
      </c>
      <c r="F45"/>
      <c r="L45" s="8"/>
    </row>
    <row r="46" spans="2:14" x14ac:dyDescent="0.25">
      <c r="B46" t="s">
        <v>20</v>
      </c>
      <c r="C46">
        <v>1</v>
      </c>
      <c r="D46" s="2">
        <f>$J$13/$I$13</f>
        <v>200</v>
      </c>
      <c r="H46" s="16"/>
    </row>
    <row r="47" spans="2:14" x14ac:dyDescent="0.25">
      <c r="B47" t="s">
        <v>30</v>
      </c>
      <c r="D47" s="2">
        <f>SUM(D43:D46)</f>
        <v>11119.019047619047</v>
      </c>
      <c r="F47" s="15"/>
      <c r="G47" s="15"/>
      <c r="H47" s="16"/>
      <c r="L47" s="16"/>
    </row>
    <row r="48" spans="2:14" x14ac:dyDescent="0.25">
      <c r="B48" t="s">
        <v>34</v>
      </c>
      <c r="D48" s="2">
        <v>25000</v>
      </c>
      <c r="F48" s="15"/>
      <c r="G48" s="15"/>
      <c r="H48" s="16"/>
      <c r="L48" s="16"/>
    </row>
    <row r="49" spans="2:12" x14ac:dyDescent="0.25">
      <c r="B49" t="s">
        <v>35</v>
      </c>
      <c r="D49" s="8">
        <f>D47/D48</f>
        <v>0.44476076190476188</v>
      </c>
      <c r="F49" s="15"/>
      <c r="G49" s="15"/>
      <c r="H49" s="16"/>
      <c r="L49" s="16"/>
    </row>
    <row r="50" spans="2:12" x14ac:dyDescent="0.25">
      <c r="F50" s="15"/>
      <c r="G50" s="15"/>
      <c r="H50" s="16"/>
      <c r="L50" s="16"/>
    </row>
    <row r="51" spans="2:12" x14ac:dyDescent="0.25">
      <c r="F51" s="15"/>
      <c r="G51" s="15"/>
      <c r="H51" s="16"/>
      <c r="L51" s="16"/>
    </row>
    <row r="52" spans="2:12" x14ac:dyDescent="0.25">
      <c r="F52" s="15"/>
      <c r="G52" s="15"/>
      <c r="H52" s="17"/>
      <c r="L52" s="16"/>
    </row>
    <row r="53" spans="2:12" x14ac:dyDescent="0.25">
      <c r="F53" s="15"/>
      <c r="G53" s="15"/>
      <c r="L53" s="17"/>
    </row>
  </sheetData>
  <mergeCells count="27">
    <mergeCell ref="L41:M41"/>
    <mergeCell ref="L42:M42"/>
    <mergeCell ref="L43:M43"/>
    <mergeCell ref="L44:M44"/>
    <mergeCell ref="C28:E28"/>
    <mergeCell ref="C30:E30"/>
    <mergeCell ref="H40:I40"/>
    <mergeCell ref="H41:I41"/>
    <mergeCell ref="H42:I42"/>
    <mergeCell ref="H43:I43"/>
    <mergeCell ref="L34:N34"/>
    <mergeCell ref="H28:I28"/>
    <mergeCell ref="H29:I29"/>
    <mergeCell ref="H30:I30"/>
    <mergeCell ref="H31:I31"/>
    <mergeCell ref="L21:N21"/>
    <mergeCell ref="L28:M28"/>
    <mergeCell ref="L29:M29"/>
    <mergeCell ref="L30:M30"/>
    <mergeCell ref="L31:M31"/>
    <mergeCell ref="H21:J21"/>
    <mergeCell ref="H34:J34"/>
    <mergeCell ref="B1:E2"/>
    <mergeCell ref="B23:E23"/>
    <mergeCell ref="C29:E29"/>
    <mergeCell ref="H8:K9"/>
    <mergeCell ref="A3:B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4657-A9B0-4428-9590-E938DC7D35A0}">
  <dimension ref="A1:N53"/>
  <sheetViews>
    <sheetView zoomScale="123" workbookViewId="0">
      <selection activeCell="G1" sqref="G1:G1048576"/>
    </sheetView>
  </sheetViews>
  <sheetFormatPr defaultRowHeight="15" x14ac:dyDescent="0.25"/>
  <cols>
    <col min="1" max="1" width="5.5703125" customWidth="1"/>
    <col min="2" max="2" width="20.140625" customWidth="1"/>
    <col min="3" max="3" width="16.5703125" customWidth="1"/>
    <col min="4" max="4" width="16.5703125" style="2" customWidth="1"/>
    <col min="5" max="6" width="16.5703125" style="4" customWidth="1"/>
    <col min="7" max="7" width="10.140625" customWidth="1"/>
    <col min="8" max="8" width="28.7109375" style="4" customWidth="1"/>
    <col min="9" max="9" width="16.42578125" style="4" bestFit="1" customWidth="1"/>
    <col min="10" max="10" width="18.5703125" customWidth="1"/>
    <col min="11" max="11" width="6.42578125" customWidth="1"/>
    <col min="12" max="12" width="28.7109375" style="4" customWidth="1"/>
    <col min="13" max="13" width="16.42578125" style="4" bestFit="1" customWidth="1"/>
    <col min="14" max="14" width="18.5703125" customWidth="1"/>
  </cols>
  <sheetData>
    <row r="1" spans="1:14" x14ac:dyDescent="0.25">
      <c r="B1" s="58" t="s">
        <v>63</v>
      </c>
      <c r="C1" s="58"/>
      <c r="D1" s="58"/>
      <c r="E1" s="58"/>
    </row>
    <row r="2" spans="1:14" x14ac:dyDescent="0.25">
      <c r="B2" s="58"/>
      <c r="C2" s="58"/>
      <c r="D2" s="58"/>
      <c r="E2" s="58"/>
      <c r="H2" s="32" t="s">
        <v>112</v>
      </c>
      <c r="I2" s="32" t="s">
        <v>5</v>
      </c>
      <c r="J2" s="25" t="s">
        <v>6</v>
      </c>
      <c r="K2" s="34" t="s">
        <v>113</v>
      </c>
      <c r="L2" s="32" t="s">
        <v>114</v>
      </c>
    </row>
    <row r="3" spans="1:14" x14ac:dyDescent="0.25">
      <c r="A3" s="66">
        <v>46282</v>
      </c>
      <c r="B3" s="66"/>
      <c r="H3" s="32" t="s">
        <v>13</v>
      </c>
      <c r="I3" s="25">
        <v>5</v>
      </c>
      <c r="J3" s="25">
        <v>40000</v>
      </c>
      <c r="K3" s="34">
        <f>4/I3</f>
        <v>0.8</v>
      </c>
      <c r="L3" s="32">
        <f>(J3*5/3)</f>
        <v>66666.666666666672</v>
      </c>
    </row>
    <row r="4" spans="1:14" x14ac:dyDescent="0.25">
      <c r="B4" s="1" t="s">
        <v>4</v>
      </c>
      <c r="C4" s="1" t="s">
        <v>5</v>
      </c>
      <c r="D4" s="2" t="s">
        <v>27</v>
      </c>
      <c r="E4" s="3" t="s">
        <v>6</v>
      </c>
      <c r="F4" s="5" t="s">
        <v>7</v>
      </c>
      <c r="H4" s="32" t="s">
        <v>24</v>
      </c>
      <c r="I4" s="25">
        <v>1</v>
      </c>
      <c r="J4" s="25">
        <v>12000</v>
      </c>
      <c r="K4" s="34">
        <f>0.45/1</f>
        <v>0.45</v>
      </c>
      <c r="L4" s="32">
        <f>(12000/450)*1000</f>
        <v>26666.666666666668</v>
      </c>
    </row>
    <row r="5" spans="1:14" x14ac:dyDescent="0.25">
      <c r="B5" t="s">
        <v>0</v>
      </c>
      <c r="C5">
        <v>1025</v>
      </c>
      <c r="D5" s="7">
        <f>Table148[[#This Row],[QUANTITY]]/Table148[[#Totals],[QUANTITY]]</f>
        <v>0.50048828125</v>
      </c>
      <c r="E5" s="2">
        <f>I3/1000</f>
        <v>5.0000000000000001E-3</v>
      </c>
      <c r="F5" s="4">
        <f>E5*C5+10000</f>
        <v>10005.125</v>
      </c>
      <c r="H5" s="25" t="s">
        <v>8</v>
      </c>
      <c r="I5" s="25">
        <v>1</v>
      </c>
      <c r="J5" s="25">
        <v>13000</v>
      </c>
      <c r="K5" s="34">
        <f>0.8/1</f>
        <v>0.8</v>
      </c>
      <c r="L5" s="25">
        <f>J5/800</f>
        <v>16.25</v>
      </c>
    </row>
    <row r="6" spans="1:14" x14ac:dyDescent="0.25">
      <c r="B6" t="s">
        <v>25</v>
      </c>
      <c r="C6">
        <v>200</v>
      </c>
      <c r="D6" s="7">
        <f>Table148[[#This Row],[QUANTITY]]/Table148[[#Totals],[QUANTITY]]</f>
        <v>9.765625E-2</v>
      </c>
      <c r="E6" s="2">
        <v>32</v>
      </c>
      <c r="F6" s="4">
        <f t="shared" ref="F6:F18" si="0">E6*C6</f>
        <v>6400</v>
      </c>
      <c r="H6" s="25" t="s">
        <v>26</v>
      </c>
      <c r="I6" s="32"/>
      <c r="J6" s="25"/>
      <c r="K6" s="34"/>
      <c r="L6" s="32">
        <v>7500</v>
      </c>
    </row>
    <row r="7" spans="1:14" x14ac:dyDescent="0.25">
      <c r="B7" t="s">
        <v>2</v>
      </c>
      <c r="C7">
        <v>135</v>
      </c>
      <c r="D7" s="7">
        <f>Table148[[#This Row],[QUANTITY]]/Table148[[#Totals],[QUANTITY]]</f>
        <v>6.591796875E-2</v>
      </c>
      <c r="E7" s="2">
        <f>I4/1000</f>
        <v>1E-3</v>
      </c>
      <c r="F7" s="4">
        <f t="shared" si="0"/>
        <v>0.13500000000000001</v>
      </c>
    </row>
    <row r="8" spans="1:14" x14ac:dyDescent="0.25">
      <c r="B8" t="s">
        <v>8</v>
      </c>
      <c r="C8">
        <v>280</v>
      </c>
      <c r="D8" s="7">
        <f>Table148[[#This Row],[QUANTITY]]/Table148[[#Totals],[QUANTITY]]</f>
        <v>0.13671875</v>
      </c>
      <c r="E8" s="2">
        <v>13</v>
      </c>
      <c r="F8" s="4">
        <f t="shared" si="0"/>
        <v>3640</v>
      </c>
      <c r="H8" s="58" t="s">
        <v>14</v>
      </c>
      <c r="I8" s="58"/>
      <c r="J8" s="58"/>
      <c r="K8" s="58"/>
      <c r="L8"/>
      <c r="M8"/>
    </row>
    <row r="9" spans="1:14" x14ac:dyDescent="0.25">
      <c r="B9" t="s">
        <v>17</v>
      </c>
      <c r="C9">
        <v>5</v>
      </c>
      <c r="D9" s="7">
        <f>Table148[[#This Row],[QUANTITY]]/Table148[[#Totals],[QUANTITY]]</f>
        <v>2.44140625E-3</v>
      </c>
      <c r="E9" s="2">
        <v>18</v>
      </c>
      <c r="F9" s="4">
        <f t="shared" si="0"/>
        <v>90</v>
      </c>
      <c r="H9" s="58"/>
      <c r="I9" s="58"/>
      <c r="J9" s="58"/>
      <c r="K9" s="58"/>
      <c r="L9"/>
      <c r="M9"/>
    </row>
    <row r="10" spans="1:14" x14ac:dyDescent="0.25">
      <c r="B10" t="s">
        <v>36</v>
      </c>
      <c r="C10">
        <v>130</v>
      </c>
      <c r="D10" s="7">
        <f>Table148[[#This Row],[QUANTITY]]/Table148[[#Totals],[QUANTITY]]</f>
        <v>6.34765625E-2</v>
      </c>
      <c r="E10" s="4">
        <v>35</v>
      </c>
      <c r="F10" s="4">
        <f t="shared" si="0"/>
        <v>4550</v>
      </c>
      <c r="H10" t="s">
        <v>62</v>
      </c>
      <c r="I10" s="24">
        <v>50</v>
      </c>
      <c r="J10" s="4">
        <v>44000</v>
      </c>
      <c r="K10" s="4"/>
      <c r="L10"/>
      <c r="M10" s="24"/>
      <c r="N10" s="4"/>
    </row>
    <row r="11" spans="1:14" x14ac:dyDescent="0.25">
      <c r="B11" t="s">
        <v>9</v>
      </c>
      <c r="D11" s="7">
        <f>Table148[[#This Row],[QUANTITY]]/Table148[[#Totals],[QUANTITY]]</f>
        <v>0</v>
      </c>
      <c r="E11" s="2">
        <v>54</v>
      </c>
      <c r="F11" s="4">
        <f t="shared" si="0"/>
        <v>0</v>
      </c>
      <c r="H11" t="s">
        <v>71</v>
      </c>
      <c r="I11" s="24">
        <v>25</v>
      </c>
      <c r="J11" s="4">
        <f>880*25</f>
        <v>22000</v>
      </c>
      <c r="K11" s="4"/>
      <c r="L11"/>
      <c r="M11" s="24"/>
      <c r="N11" s="4"/>
    </row>
    <row r="12" spans="1:14" x14ac:dyDescent="0.25">
      <c r="B12" t="s">
        <v>10</v>
      </c>
      <c r="C12">
        <v>19</v>
      </c>
      <c r="D12" s="7">
        <f>Table148[[#This Row],[QUANTITY]]/Table148[[#Totals],[QUANTITY]]</f>
        <v>9.27734375E-3</v>
      </c>
      <c r="E12" s="2">
        <v>19</v>
      </c>
      <c r="F12" s="4">
        <f t="shared" si="0"/>
        <v>361</v>
      </c>
      <c r="H12" t="s">
        <v>19</v>
      </c>
      <c r="I12" s="24">
        <v>100</v>
      </c>
      <c r="J12" s="4">
        <f>460*100</f>
        <v>46000</v>
      </c>
      <c r="K12" s="4"/>
      <c r="L12"/>
      <c r="M12" s="24"/>
      <c r="N12" s="4"/>
    </row>
    <row r="13" spans="1:14" x14ac:dyDescent="0.25">
      <c r="B13" t="s">
        <v>11</v>
      </c>
      <c r="C13">
        <v>20</v>
      </c>
      <c r="D13" s="7">
        <f>Table148[[#This Row],[QUANTITY]]/Table148[[#Totals],[QUANTITY]]</f>
        <v>9.765625E-3</v>
      </c>
      <c r="E13" s="2">
        <v>10</v>
      </c>
      <c r="F13" s="4">
        <f t="shared" si="0"/>
        <v>200</v>
      </c>
      <c r="H13" t="s">
        <v>20</v>
      </c>
      <c r="I13" s="24">
        <v>50</v>
      </c>
      <c r="J13" s="4">
        <v>10000</v>
      </c>
      <c r="K13" s="4"/>
      <c r="L13"/>
      <c r="M13" s="24"/>
      <c r="N13" s="4"/>
    </row>
    <row r="14" spans="1:14" x14ac:dyDescent="0.25">
      <c r="B14" t="s">
        <v>12</v>
      </c>
      <c r="C14">
        <v>5</v>
      </c>
      <c r="D14" s="7">
        <f>Table148[[#This Row],[QUANTITY]]/Table148[[#Totals],[QUANTITY]]</f>
        <v>2.44140625E-3</v>
      </c>
      <c r="E14" s="2">
        <v>162.5</v>
      </c>
      <c r="F14" s="4">
        <f t="shared" si="0"/>
        <v>812.5</v>
      </c>
      <c r="H14" t="s">
        <v>21</v>
      </c>
      <c r="I14" s="24">
        <v>25</v>
      </c>
      <c r="J14" s="4">
        <v>26000</v>
      </c>
      <c r="K14" s="4"/>
      <c r="L14"/>
      <c r="M14" s="24"/>
      <c r="N14" s="4"/>
    </row>
    <row r="15" spans="1:14" x14ac:dyDescent="0.25">
      <c r="B15" t="s">
        <v>15</v>
      </c>
      <c r="C15">
        <v>16</v>
      </c>
      <c r="D15" s="7">
        <f>Table148[[#This Row],[QUANTITY]]/Table148[[#Totals],[QUANTITY]]</f>
        <v>7.8125E-3</v>
      </c>
      <c r="E15" s="2">
        <v>665</v>
      </c>
      <c r="F15" s="4">
        <f t="shared" si="0"/>
        <v>10640</v>
      </c>
      <c r="H15" t="s">
        <v>72</v>
      </c>
      <c r="I15" s="24">
        <v>77</v>
      </c>
      <c r="J15" s="4">
        <v>10000</v>
      </c>
      <c r="K15" s="4"/>
      <c r="L15"/>
      <c r="M15" s="24"/>
      <c r="N15" s="4"/>
    </row>
    <row r="16" spans="1:14" x14ac:dyDescent="0.25">
      <c r="B16" t="s">
        <v>16</v>
      </c>
      <c r="C16">
        <v>12</v>
      </c>
      <c r="D16" s="7">
        <f>Table148[[#This Row],[QUANTITY]]/Table148[[#Totals],[QUANTITY]]</f>
        <v>5.859375E-3</v>
      </c>
      <c r="E16" s="2">
        <v>338</v>
      </c>
      <c r="F16" s="4">
        <f t="shared" si="0"/>
        <v>4056</v>
      </c>
      <c r="H16" s="4" t="s">
        <v>73</v>
      </c>
      <c r="I16" s="24">
        <v>5</v>
      </c>
      <c r="J16" s="4">
        <v>38000</v>
      </c>
      <c r="M16" s="24"/>
      <c r="N16" s="4"/>
    </row>
    <row r="17" spans="2:14" x14ac:dyDescent="0.25">
      <c r="B17" t="s">
        <v>37</v>
      </c>
      <c r="C17" s="6">
        <v>200</v>
      </c>
      <c r="D17" s="7">
        <f>Table148[[#This Row],[QUANTITY]]/Table148[[#Totals],[QUANTITY]]</f>
        <v>9.765625E-2</v>
      </c>
      <c r="E17" s="4">
        <v>22</v>
      </c>
      <c r="F17" s="4">
        <f t="shared" si="0"/>
        <v>4400</v>
      </c>
      <c r="H17" s="4" t="s">
        <v>74</v>
      </c>
      <c r="I17" s="24">
        <v>1</v>
      </c>
      <c r="J17" s="4">
        <v>10000</v>
      </c>
      <c r="M17" s="24"/>
      <c r="N17" s="4"/>
    </row>
    <row r="18" spans="2:14" x14ac:dyDescent="0.25">
      <c r="B18" t="s">
        <v>64</v>
      </c>
      <c r="C18">
        <v>1</v>
      </c>
      <c r="D18" s="18">
        <f>Table148[[#This Row],[QUANTITY]]/Table148[[#Totals],[QUANTITY]]</f>
        <v>4.8828125E-4</v>
      </c>
      <c r="E18" s="2">
        <f>30000/16</f>
        <v>1875</v>
      </c>
      <c r="F18" s="4">
        <f t="shared" si="0"/>
        <v>1875</v>
      </c>
      <c r="H18" s="4" t="s">
        <v>59</v>
      </c>
      <c r="I18" s="24">
        <v>1</v>
      </c>
      <c r="J18" s="4">
        <v>9000</v>
      </c>
      <c r="M18" s="24"/>
      <c r="N18" s="4"/>
    </row>
    <row r="19" spans="2:14" x14ac:dyDescent="0.25">
      <c r="B19" t="s">
        <v>58</v>
      </c>
      <c r="C19">
        <f>SUBTOTAL(109,Table148[QUANTITY])</f>
        <v>2048</v>
      </c>
      <c r="D19" s="19">
        <f>SUBTOTAL(109,Table148[PERSEN])</f>
        <v>1</v>
      </c>
      <c r="E19" s="2">
        <f>SUBTOTAL(109,Table148[HARGA])</f>
        <v>3243.5059999999999</v>
      </c>
      <c r="F19" s="4">
        <f>SUBTOTAL(109,Table148[TOTAL])</f>
        <v>47029.759999999995</v>
      </c>
      <c r="G19" s="2"/>
    </row>
    <row r="20" spans="2:14" ht="15" customHeight="1" x14ac:dyDescent="0.25">
      <c r="C20" s="9"/>
      <c r="D20" s="7"/>
    </row>
    <row r="21" spans="2:14" ht="15" customHeight="1" x14ac:dyDescent="0.25">
      <c r="B21" s="10"/>
      <c r="C21" s="10"/>
      <c r="D21" s="10"/>
      <c r="E21" s="10"/>
      <c r="H21" s="61" t="s">
        <v>75</v>
      </c>
      <c r="I21" s="61"/>
      <c r="J21" s="61"/>
      <c r="L21" s="61" t="s">
        <v>78</v>
      </c>
      <c r="M21" s="61"/>
      <c r="N21" s="61"/>
    </row>
    <row r="22" spans="2:14" ht="26.25" x14ac:dyDescent="0.25">
      <c r="B22" s="10"/>
      <c r="C22" s="10"/>
      <c r="D22" s="10"/>
      <c r="E22" s="10"/>
      <c r="H22" t="s">
        <v>66</v>
      </c>
      <c r="I22" t="s">
        <v>5</v>
      </c>
      <c r="J22" s="2" t="s">
        <v>6</v>
      </c>
      <c r="K22" s="2"/>
      <c r="L22" t="s">
        <v>66</v>
      </c>
      <c r="M22" t="s">
        <v>5</v>
      </c>
      <c r="N22" s="2" t="s">
        <v>6</v>
      </c>
    </row>
    <row r="23" spans="2:14" ht="21" x14ac:dyDescent="0.35">
      <c r="B23" s="60" t="s">
        <v>65</v>
      </c>
      <c r="C23" s="60"/>
      <c r="D23" s="60"/>
      <c r="E23" s="60"/>
      <c r="F23" s="13"/>
      <c r="H23" t="s">
        <v>29</v>
      </c>
      <c r="I23">
        <v>10</v>
      </c>
      <c r="J23" s="4">
        <f>$C$29*I23</f>
        <v>3094.3921052631576</v>
      </c>
      <c r="L23" t="s">
        <v>29</v>
      </c>
      <c r="M23">
        <v>7</v>
      </c>
      <c r="N23" s="4">
        <f>$C$29*M23</f>
        <v>2166.0744736842103</v>
      </c>
    </row>
    <row r="24" spans="2:14" x14ac:dyDescent="0.25">
      <c r="B24" s="1" t="s">
        <v>4</v>
      </c>
      <c r="C24" s="1" t="s">
        <v>5</v>
      </c>
      <c r="D24" s="3" t="s">
        <v>6</v>
      </c>
      <c r="E24" s="4" t="s">
        <v>7</v>
      </c>
      <c r="H24" t="s">
        <v>62</v>
      </c>
      <c r="I24">
        <v>1</v>
      </c>
      <c r="J24" s="4">
        <f>$J$10/$I$10</f>
        <v>880</v>
      </c>
      <c r="K24" s="2"/>
      <c r="L24" t="s">
        <v>71</v>
      </c>
      <c r="M24">
        <v>1</v>
      </c>
      <c r="N24" s="4">
        <f>$J$11/$I$11</f>
        <v>880</v>
      </c>
    </row>
    <row r="25" spans="2:14" x14ac:dyDescent="0.25">
      <c r="B25" t="s">
        <v>40</v>
      </c>
      <c r="C25" s="6">
        <f>Table148[[#Totals],[QUANTITY]]</f>
        <v>2048</v>
      </c>
      <c r="D25" s="2">
        <f>Table148[[#Totals],[TOTAL]]/C25</f>
        <v>22.963749999999997</v>
      </c>
      <c r="E25" s="4">
        <f>C25*D25</f>
        <v>47029.759999999995</v>
      </c>
      <c r="H25" t="s">
        <v>19</v>
      </c>
      <c r="I25">
        <v>1</v>
      </c>
      <c r="J25" s="4">
        <f>$J$12/$I$12</f>
        <v>460</v>
      </c>
      <c r="L25" t="s">
        <v>19</v>
      </c>
      <c r="M25">
        <v>1</v>
      </c>
      <c r="N25" s="4">
        <f>$J$12/$I$12</f>
        <v>460</v>
      </c>
    </row>
    <row r="26" spans="2:14" x14ac:dyDescent="0.25">
      <c r="B26" t="s">
        <v>59</v>
      </c>
      <c r="C26" s="6">
        <v>5</v>
      </c>
      <c r="D26" s="2">
        <f>I5</f>
        <v>1</v>
      </c>
      <c r="E26" s="4">
        <f>C26*D26</f>
        <v>5</v>
      </c>
      <c r="H26" t="s">
        <v>20</v>
      </c>
      <c r="I26">
        <v>1</v>
      </c>
      <c r="J26" s="4">
        <f>$J$13/$I$13</f>
        <v>200</v>
      </c>
      <c r="L26" t="s">
        <v>20</v>
      </c>
      <c r="M26">
        <v>1</v>
      </c>
      <c r="N26" s="4">
        <f>$J$13/$I$13</f>
        <v>200</v>
      </c>
    </row>
    <row r="27" spans="2:14" ht="15.75" thickBot="1" x14ac:dyDescent="0.3">
      <c r="B27" t="s">
        <v>79</v>
      </c>
      <c r="D27"/>
      <c r="E27" s="4">
        <f>SUBTOTAL(109,Table2510[TOTAL])</f>
        <v>47034.759999999995</v>
      </c>
      <c r="H27" s="4" t="s">
        <v>72</v>
      </c>
      <c r="I27" s="6">
        <v>1</v>
      </c>
      <c r="J27" s="4">
        <f>$J$15/I15</f>
        <v>129.87012987012986</v>
      </c>
      <c r="L27" s="4" t="s">
        <v>72</v>
      </c>
      <c r="M27" s="6">
        <v>1</v>
      </c>
      <c r="N27" s="4">
        <f>$J$15/I15</f>
        <v>129.87012987012986</v>
      </c>
    </row>
    <row r="28" spans="2:14" ht="15.75" thickTop="1" x14ac:dyDescent="0.25">
      <c r="B28" t="s">
        <v>80</v>
      </c>
      <c r="C28" s="59">
        <v>152</v>
      </c>
      <c r="D28" s="59"/>
      <c r="E28" s="59"/>
      <c r="H28" s="21" t="s">
        <v>58</v>
      </c>
      <c r="I28" s="20"/>
      <c r="J28" s="23">
        <f>SUBTOTAL(109,Table511[HARGA])</f>
        <v>4764.2622351332875</v>
      </c>
      <c r="L28" s="21" t="s">
        <v>58</v>
      </c>
      <c r="M28" s="20"/>
      <c r="N28" s="23">
        <f>SUBTOTAL(109,Table5913[HARGA])</f>
        <v>3835.9446035543401</v>
      </c>
    </row>
    <row r="29" spans="2:14" x14ac:dyDescent="0.25">
      <c r="B29" t="s">
        <v>82</v>
      </c>
      <c r="C29" s="61">
        <f>Table2510[[#Totals],[TOTAL]]/C28</f>
        <v>309.43921052631578</v>
      </c>
      <c r="D29" s="59"/>
      <c r="E29" s="59"/>
      <c r="H29" s="63" t="s">
        <v>70</v>
      </c>
      <c r="I29" s="63"/>
      <c r="J29" s="22">
        <v>25000</v>
      </c>
      <c r="L29" s="63" t="s">
        <v>70</v>
      </c>
      <c r="M29" s="63"/>
      <c r="N29" s="22">
        <v>20000</v>
      </c>
    </row>
    <row r="30" spans="2:14" x14ac:dyDescent="0.25">
      <c r="B30" t="s">
        <v>81</v>
      </c>
      <c r="C30" s="61">
        <f>(((176+40)/M23)*N29)</f>
        <v>617142.85714285716</v>
      </c>
      <c r="D30" s="59"/>
      <c r="E30" s="59"/>
      <c r="H30" s="64" t="s">
        <v>67</v>
      </c>
      <c r="I30" s="64"/>
      <c r="J30" s="4">
        <f>J29-Table511[[#Totals],[HARGA]]</f>
        <v>20235.737764866713</v>
      </c>
      <c r="L30" s="64" t="s">
        <v>67</v>
      </c>
      <c r="M30" s="64"/>
      <c r="N30" s="4">
        <f>N29-Table5913[[#Totals],[HARGA]]</f>
        <v>16164.055396445659</v>
      </c>
    </row>
    <row r="31" spans="2:14" x14ac:dyDescent="0.25">
      <c r="H31" s="64" t="s">
        <v>68</v>
      </c>
      <c r="I31" s="64"/>
      <c r="J31" s="7">
        <f>J30/J29</f>
        <v>0.8094295105946685</v>
      </c>
      <c r="L31" s="64" t="s">
        <v>68</v>
      </c>
      <c r="M31" s="64"/>
      <c r="N31" s="7">
        <f>N30/N29</f>
        <v>0.80820276982228301</v>
      </c>
    </row>
    <row r="32" spans="2:14" x14ac:dyDescent="0.25">
      <c r="H32" s="65" t="s">
        <v>69</v>
      </c>
      <c r="I32" s="65"/>
      <c r="J32" s="7">
        <f>Table511[[#Totals],[HARGA]]/J29</f>
        <v>0.1905704894053315</v>
      </c>
      <c r="L32" s="65" t="s">
        <v>69</v>
      </c>
      <c r="M32" s="65"/>
      <c r="N32" s="7">
        <f>Table5913[[#Totals],[HARGA]]/N29</f>
        <v>0.19179723017771699</v>
      </c>
    </row>
    <row r="34" spans="2:14" x14ac:dyDescent="0.25">
      <c r="L34" s="61"/>
      <c r="M34" s="61"/>
      <c r="N34" s="61"/>
    </row>
    <row r="35" spans="2:14" x14ac:dyDescent="0.25">
      <c r="L35"/>
      <c r="M35"/>
      <c r="N35" s="2"/>
    </row>
    <row r="36" spans="2:14" x14ac:dyDescent="0.25">
      <c r="H36" s="61" t="s">
        <v>76</v>
      </c>
      <c r="I36" s="61"/>
      <c r="J36" s="61"/>
      <c r="L36"/>
      <c r="M36"/>
      <c r="N36" s="4"/>
    </row>
    <row r="37" spans="2:14" x14ac:dyDescent="0.25">
      <c r="H37" t="s">
        <v>66</v>
      </c>
      <c r="I37" t="s">
        <v>5</v>
      </c>
      <c r="J37" s="2" t="s">
        <v>6</v>
      </c>
      <c r="L37"/>
      <c r="M37"/>
      <c r="N37" s="4"/>
    </row>
    <row r="38" spans="2:14" x14ac:dyDescent="0.25">
      <c r="H38" t="s">
        <v>29</v>
      </c>
      <c r="I38">
        <v>10</v>
      </c>
      <c r="J38" s="4">
        <f>$C$29*I38</f>
        <v>3094.3921052631576</v>
      </c>
      <c r="L38"/>
      <c r="M38"/>
      <c r="N38" s="4"/>
    </row>
    <row r="39" spans="2:14" ht="15.75" thickBot="1" x14ac:dyDescent="0.3">
      <c r="H39" t="s">
        <v>77</v>
      </c>
      <c r="I39">
        <v>1</v>
      </c>
      <c r="J39" s="4">
        <f>$J$10/$I$10</f>
        <v>880</v>
      </c>
      <c r="L39"/>
      <c r="M39"/>
      <c r="N39" s="4"/>
    </row>
    <row r="40" spans="2:14" ht="15.75" thickTop="1" x14ac:dyDescent="0.25">
      <c r="H40" t="s">
        <v>19</v>
      </c>
      <c r="I40">
        <v>1</v>
      </c>
      <c r="J40" s="4">
        <f>$J$12/$I$12</f>
        <v>460</v>
      </c>
      <c r="L40" s="21"/>
      <c r="M40" s="20"/>
      <c r="N40" s="23"/>
    </row>
    <row r="41" spans="2:14" ht="15.75" thickBot="1" x14ac:dyDescent="0.3">
      <c r="H41" s="4" t="s">
        <v>72</v>
      </c>
      <c r="I41" s="6">
        <v>1</v>
      </c>
      <c r="J41" s="4">
        <f>$J$15/$I$15</f>
        <v>129.87012987012986</v>
      </c>
      <c r="L41" s="63"/>
      <c r="M41" s="63"/>
      <c r="N41" s="22"/>
    </row>
    <row r="42" spans="2:14" ht="15.75" thickTop="1" x14ac:dyDescent="0.25">
      <c r="B42" s="14"/>
      <c r="C42" s="15"/>
      <c r="D42" s="16"/>
      <c r="H42" s="21" t="s">
        <v>58</v>
      </c>
      <c r="I42" s="20"/>
      <c r="J42" s="23">
        <f>SUBTOTAL(109,Table5712[HARGA])</f>
        <v>4564.2622351332875</v>
      </c>
      <c r="L42" s="64"/>
      <c r="M42" s="64"/>
      <c r="N42" s="4"/>
    </row>
    <row r="43" spans="2:14" x14ac:dyDescent="0.25">
      <c r="B43" s="15"/>
      <c r="C43" s="15"/>
      <c r="D43" s="16"/>
      <c r="H43" s="63" t="s">
        <v>70</v>
      </c>
      <c r="I43" s="63"/>
      <c r="J43" s="22">
        <v>25000</v>
      </c>
      <c r="L43" s="64"/>
      <c r="M43" s="64"/>
      <c r="N43" s="7"/>
    </row>
    <row r="44" spans="2:14" x14ac:dyDescent="0.25">
      <c r="B44" s="15"/>
      <c r="C44" s="15"/>
      <c r="D44" s="16"/>
      <c r="H44" s="64" t="s">
        <v>67</v>
      </c>
      <c r="I44" s="64"/>
      <c r="J44" s="4">
        <f>J43-Table5712[[#Totals],[HARGA]]</f>
        <v>20435.737764866713</v>
      </c>
      <c r="L44" s="65"/>
      <c r="M44" s="65"/>
      <c r="N44" s="7"/>
    </row>
    <row r="45" spans="2:14" x14ac:dyDescent="0.25">
      <c r="B45" s="15"/>
      <c r="C45" s="15"/>
      <c r="D45" s="16"/>
      <c r="F45"/>
      <c r="H45" s="64" t="s">
        <v>68</v>
      </c>
      <c r="I45" s="64"/>
      <c r="J45" s="7">
        <f>J44/J43</f>
        <v>0.81742951059466851</v>
      </c>
      <c r="L45" s="8"/>
    </row>
    <row r="46" spans="2:14" x14ac:dyDescent="0.25">
      <c r="H46" s="65" t="s">
        <v>69</v>
      </c>
      <c r="I46" s="65"/>
      <c r="J46" s="7">
        <f>Table5712[[#Totals],[HARGA]]/J43</f>
        <v>0.18257048940533149</v>
      </c>
    </row>
    <row r="47" spans="2:14" x14ac:dyDescent="0.25">
      <c r="F47" s="15"/>
      <c r="G47" s="15"/>
      <c r="L47" s="16"/>
    </row>
    <row r="48" spans="2:14" x14ac:dyDescent="0.25">
      <c r="F48" s="15"/>
      <c r="G48" s="15"/>
      <c r="H48" s="16"/>
      <c r="L48" s="16"/>
    </row>
    <row r="49" spans="4:12" x14ac:dyDescent="0.25">
      <c r="D49" s="8"/>
      <c r="F49" s="15"/>
      <c r="G49" s="15"/>
      <c r="H49" s="16"/>
      <c r="L49" s="16"/>
    </row>
    <row r="50" spans="4:12" x14ac:dyDescent="0.25">
      <c r="F50" s="15"/>
      <c r="G50" s="15"/>
      <c r="H50" s="16"/>
      <c r="L50" s="16"/>
    </row>
    <row r="51" spans="4:12" x14ac:dyDescent="0.25">
      <c r="F51" s="15"/>
      <c r="G51" s="15"/>
      <c r="H51" s="16"/>
      <c r="L51" s="16"/>
    </row>
    <row r="52" spans="4:12" x14ac:dyDescent="0.25">
      <c r="F52" s="15"/>
      <c r="G52" s="15"/>
      <c r="H52" s="16"/>
      <c r="L52" s="16"/>
    </row>
    <row r="53" spans="4:12" x14ac:dyDescent="0.25">
      <c r="F53" s="15"/>
      <c r="G53" s="15"/>
      <c r="H53" s="17"/>
      <c r="L53" s="17"/>
    </row>
  </sheetData>
  <mergeCells count="27">
    <mergeCell ref="L21:N21"/>
    <mergeCell ref="B23:E23"/>
    <mergeCell ref="C28:E28"/>
    <mergeCell ref="C29:E29"/>
    <mergeCell ref="B1:E2"/>
    <mergeCell ref="A3:B3"/>
    <mergeCell ref="H8:K9"/>
    <mergeCell ref="H21:J21"/>
    <mergeCell ref="C30:E30"/>
    <mergeCell ref="H30:I30"/>
    <mergeCell ref="L30:M30"/>
    <mergeCell ref="H31:I31"/>
    <mergeCell ref="L31:M31"/>
    <mergeCell ref="H45:I45"/>
    <mergeCell ref="H46:I46"/>
    <mergeCell ref="L44:M44"/>
    <mergeCell ref="H29:I29"/>
    <mergeCell ref="H32:I32"/>
    <mergeCell ref="L29:M29"/>
    <mergeCell ref="L32:M32"/>
    <mergeCell ref="H43:I43"/>
    <mergeCell ref="H44:I44"/>
    <mergeCell ref="L41:M41"/>
    <mergeCell ref="L42:M42"/>
    <mergeCell ref="L43:M43"/>
    <mergeCell ref="H36:J36"/>
    <mergeCell ref="L34:N3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8C3D-8B48-473E-94EE-8FA8285E19F9}">
  <dimension ref="A1:N53"/>
  <sheetViews>
    <sheetView showGridLines="0" tabSelected="1" topLeftCell="A2" zoomScale="124" workbookViewId="0">
      <selection activeCell="E13" sqref="E13"/>
    </sheetView>
  </sheetViews>
  <sheetFormatPr defaultRowHeight="15" x14ac:dyDescent="0.25"/>
  <cols>
    <col min="1" max="1" width="5.5703125" style="25" customWidth="1"/>
    <col min="2" max="2" width="24.5703125" style="25" customWidth="1"/>
    <col min="3" max="3" width="16.5703125" style="25" customWidth="1"/>
    <col min="4" max="4" width="16.5703125" style="33" customWidth="1"/>
    <col min="5" max="6" width="16.5703125" style="32" customWidth="1"/>
    <col min="7" max="7" width="14" style="25" customWidth="1"/>
    <col min="8" max="8" width="28.7109375" style="32" customWidth="1"/>
    <col min="9" max="9" width="16.42578125" style="32" bestFit="1" customWidth="1"/>
    <col min="10" max="10" width="18.5703125" style="25" customWidth="1"/>
    <col min="11" max="11" width="6.42578125" style="25" customWidth="1"/>
    <col min="12" max="12" width="28.7109375" style="32" customWidth="1"/>
    <col min="13" max="13" width="16.42578125" style="32" bestFit="1" customWidth="1"/>
    <col min="14" max="14" width="18.5703125" style="25" customWidth="1"/>
    <col min="15" max="16384" width="9.140625" style="25"/>
  </cols>
  <sheetData>
    <row r="1" spans="1:14" x14ac:dyDescent="0.25">
      <c r="B1" s="74" t="s">
        <v>83</v>
      </c>
      <c r="C1" s="74"/>
      <c r="D1" s="74"/>
      <c r="E1" s="74"/>
    </row>
    <row r="2" spans="1:14" x14ac:dyDescent="0.25">
      <c r="B2" s="74"/>
      <c r="C2" s="74"/>
      <c r="D2" s="74"/>
      <c r="E2" s="74"/>
      <c r="H2" s="32" t="s">
        <v>112</v>
      </c>
      <c r="I2" s="32" t="s">
        <v>5</v>
      </c>
      <c r="J2" s="25" t="s">
        <v>6</v>
      </c>
      <c r="K2" s="34" t="s">
        <v>113</v>
      </c>
      <c r="L2" s="32" t="s">
        <v>114</v>
      </c>
    </row>
    <row r="3" spans="1:14" x14ac:dyDescent="0.25">
      <c r="A3" s="75">
        <v>46286</v>
      </c>
      <c r="B3" s="75"/>
      <c r="H3" s="32" t="s">
        <v>13</v>
      </c>
      <c r="I3" s="25">
        <v>5</v>
      </c>
      <c r="J3" s="25">
        <v>40000</v>
      </c>
      <c r="K3" s="34">
        <f>4/I3</f>
        <v>0.8</v>
      </c>
      <c r="L3" s="32">
        <f>(J3*5/3)</f>
        <v>66666.666666666672</v>
      </c>
    </row>
    <row r="4" spans="1:14" x14ac:dyDescent="0.25">
      <c r="B4" s="27" t="s">
        <v>4</v>
      </c>
      <c r="C4" s="27" t="s">
        <v>5</v>
      </c>
      <c r="D4" s="33" t="s">
        <v>27</v>
      </c>
      <c r="E4" s="28" t="s">
        <v>6</v>
      </c>
      <c r="F4" s="29" t="s">
        <v>7</v>
      </c>
      <c r="H4" s="32" t="s">
        <v>24</v>
      </c>
      <c r="I4" s="25">
        <v>1</v>
      </c>
      <c r="J4" s="25">
        <v>12000</v>
      </c>
      <c r="K4" s="34">
        <f>0.45/1</f>
        <v>0.45</v>
      </c>
      <c r="L4" s="32">
        <f>(12000/450)*1000</f>
        <v>26666.666666666668</v>
      </c>
    </row>
    <row r="5" spans="1:14" x14ac:dyDescent="0.25">
      <c r="B5" s="25" t="s">
        <v>0</v>
      </c>
      <c r="C5" s="25">
        <v>1025</v>
      </c>
      <c r="D5" s="34">
        <f>Table14814[[#This Row],[QUANTITY]]/Table14814[[#Totals],[QUANTITY]]</f>
        <v>0.51820020222446916</v>
      </c>
      <c r="E5" s="33">
        <f>I3/1000</f>
        <v>5.0000000000000001E-3</v>
      </c>
      <c r="F5" s="32">
        <f>E5*C5+10000</f>
        <v>10005.125</v>
      </c>
      <c r="H5" s="25" t="s">
        <v>8</v>
      </c>
      <c r="I5" s="25">
        <v>1</v>
      </c>
      <c r="J5" s="25">
        <v>13000</v>
      </c>
      <c r="K5" s="34">
        <f>0.8/1</f>
        <v>0.8</v>
      </c>
      <c r="L5" s="25">
        <f>J5/800</f>
        <v>16.25</v>
      </c>
    </row>
    <row r="6" spans="1:14" x14ac:dyDescent="0.25">
      <c r="B6" s="25" t="s">
        <v>25</v>
      </c>
      <c r="C6" s="25">
        <v>200</v>
      </c>
      <c r="D6" s="34">
        <f>Table14814[[#This Row],[QUANTITY]]/Table14814[[#Totals],[QUANTITY]]</f>
        <v>0.10111223458038422</v>
      </c>
      <c r="E6" s="33">
        <v>32</v>
      </c>
      <c r="F6" s="32">
        <f t="shared" ref="F6:F18" si="0">E6*C6</f>
        <v>6400</v>
      </c>
      <c r="H6" s="25" t="s">
        <v>26</v>
      </c>
      <c r="K6" s="34"/>
      <c r="L6" s="32">
        <v>7500</v>
      </c>
    </row>
    <row r="7" spans="1:14" x14ac:dyDescent="0.25">
      <c r="B7" s="25" t="s">
        <v>2</v>
      </c>
      <c r="C7" s="25">
        <v>135</v>
      </c>
      <c r="D7" s="34">
        <f>Table14814[[#This Row],[QUANTITY]]/Table14814[[#Totals],[QUANTITY]]</f>
        <v>6.8250758341759352E-2</v>
      </c>
      <c r="E7" s="33">
        <f>I4/1000</f>
        <v>1E-3</v>
      </c>
      <c r="F7" s="32">
        <f t="shared" si="0"/>
        <v>0.13500000000000001</v>
      </c>
    </row>
    <row r="8" spans="1:14" x14ac:dyDescent="0.25">
      <c r="B8" s="25" t="s">
        <v>8</v>
      </c>
      <c r="C8" s="25">
        <v>280</v>
      </c>
      <c r="D8" s="34">
        <f>Table14814[[#This Row],[QUANTITY]]/Table14814[[#Totals],[QUANTITY]]</f>
        <v>0.14155712841253792</v>
      </c>
      <c r="E8" s="33">
        <v>13</v>
      </c>
      <c r="F8" s="32">
        <f t="shared" si="0"/>
        <v>3640</v>
      </c>
      <c r="H8" s="74" t="s">
        <v>14</v>
      </c>
      <c r="I8" s="74"/>
      <c r="J8" s="74"/>
      <c r="K8" s="74"/>
      <c r="L8" s="25"/>
      <c r="M8" s="25"/>
    </row>
    <row r="9" spans="1:14" x14ac:dyDescent="0.25">
      <c r="B9" s="25" t="s">
        <v>17</v>
      </c>
      <c r="C9" s="25">
        <v>5</v>
      </c>
      <c r="D9" s="34">
        <f>Table14814[[#This Row],[QUANTITY]]/Table14814[[#Totals],[QUANTITY]]</f>
        <v>2.5278058645096056E-3</v>
      </c>
      <c r="E9" s="33">
        <v>10</v>
      </c>
      <c r="F9" s="32">
        <f t="shared" si="0"/>
        <v>50</v>
      </c>
      <c r="H9" s="74"/>
      <c r="I9" s="74"/>
      <c r="J9" s="74"/>
      <c r="K9" s="74"/>
      <c r="L9" s="25"/>
      <c r="M9" s="25"/>
    </row>
    <row r="10" spans="1:14" x14ac:dyDescent="0.25">
      <c r="B10" s="25" t="s">
        <v>36</v>
      </c>
      <c r="C10" s="25">
        <v>130</v>
      </c>
      <c r="D10" s="34">
        <f>Table14814[[#This Row],[QUANTITY]]/Table14814[[#Totals],[QUANTITY]]</f>
        <v>6.5722952477249741E-2</v>
      </c>
      <c r="E10" s="32">
        <v>35</v>
      </c>
      <c r="F10" s="32">
        <f t="shared" si="0"/>
        <v>4550</v>
      </c>
      <c r="H10" s="25" t="s">
        <v>62</v>
      </c>
      <c r="I10" s="35">
        <v>50</v>
      </c>
      <c r="J10" s="32">
        <v>44000</v>
      </c>
      <c r="K10" s="32"/>
      <c r="L10" s="25"/>
      <c r="M10" s="35"/>
      <c r="N10" s="32"/>
    </row>
    <row r="11" spans="1:14" x14ac:dyDescent="0.25">
      <c r="B11" s="25" t="s">
        <v>9</v>
      </c>
      <c r="D11" s="34">
        <f>Table14814[[#This Row],[QUANTITY]]/Table14814[[#Totals],[QUANTITY]]</f>
        <v>0</v>
      </c>
      <c r="E11" s="33">
        <v>54</v>
      </c>
      <c r="F11" s="32">
        <f t="shared" si="0"/>
        <v>0</v>
      </c>
      <c r="H11" s="25" t="s">
        <v>71</v>
      </c>
      <c r="I11" s="35">
        <v>25</v>
      </c>
      <c r="J11" s="32">
        <f>880*25</f>
        <v>22000</v>
      </c>
      <c r="K11" s="32"/>
      <c r="L11" s="25"/>
      <c r="M11" s="35"/>
      <c r="N11" s="32"/>
    </row>
    <row r="12" spans="1:14" x14ac:dyDescent="0.25">
      <c r="B12" s="25" t="s">
        <v>10</v>
      </c>
      <c r="C12" s="25">
        <v>15</v>
      </c>
      <c r="D12" s="34">
        <f>Table14814[[#This Row],[QUANTITY]]/Table14814[[#Totals],[QUANTITY]]</f>
        <v>7.5834175935288167E-3</v>
      </c>
      <c r="E12" s="33">
        <v>19</v>
      </c>
      <c r="F12" s="32">
        <f t="shared" si="0"/>
        <v>285</v>
      </c>
      <c r="H12" s="25" t="s">
        <v>19</v>
      </c>
      <c r="I12" s="35">
        <v>100</v>
      </c>
      <c r="J12" s="32">
        <f>460*100</f>
        <v>46000</v>
      </c>
      <c r="K12" s="32"/>
      <c r="L12" s="25"/>
      <c r="M12" s="35"/>
      <c r="N12" s="32"/>
    </row>
    <row r="13" spans="1:14" x14ac:dyDescent="0.25">
      <c r="B13" s="25" t="s">
        <v>11</v>
      </c>
      <c r="C13" s="25">
        <v>15</v>
      </c>
      <c r="D13" s="34">
        <f>Table14814[[#This Row],[QUANTITY]]/Table14814[[#Totals],[QUANTITY]]</f>
        <v>7.5834175935288167E-3</v>
      </c>
      <c r="E13" s="33">
        <v>10</v>
      </c>
      <c r="F13" s="32">
        <f t="shared" si="0"/>
        <v>150</v>
      </c>
      <c r="H13" s="25" t="s">
        <v>20</v>
      </c>
      <c r="I13" s="35">
        <v>50</v>
      </c>
      <c r="J13" s="32">
        <v>10000</v>
      </c>
      <c r="K13" s="32"/>
      <c r="L13" s="25"/>
      <c r="M13" s="35"/>
      <c r="N13" s="32"/>
    </row>
    <row r="14" spans="1:14" x14ac:dyDescent="0.25">
      <c r="B14" s="25" t="s">
        <v>12</v>
      </c>
      <c r="C14" s="25">
        <v>5</v>
      </c>
      <c r="D14" s="34">
        <f>Table14814[[#This Row],[QUANTITY]]/Table14814[[#Totals],[QUANTITY]]</f>
        <v>2.5278058645096056E-3</v>
      </c>
      <c r="E14" s="33">
        <v>162.5</v>
      </c>
      <c r="F14" s="32">
        <f t="shared" si="0"/>
        <v>812.5</v>
      </c>
      <c r="H14" s="25" t="s">
        <v>21</v>
      </c>
      <c r="I14" s="35">
        <v>25</v>
      </c>
      <c r="J14" s="32">
        <v>26000</v>
      </c>
      <c r="K14" s="32"/>
      <c r="L14" s="25"/>
      <c r="M14" s="35"/>
      <c r="N14" s="32"/>
    </row>
    <row r="15" spans="1:14" x14ac:dyDescent="0.25">
      <c r="B15" s="25" t="s">
        <v>15</v>
      </c>
      <c r="C15" s="25">
        <v>12</v>
      </c>
      <c r="D15" s="34">
        <f>Table14814[[#This Row],[QUANTITY]]/Table14814[[#Totals],[QUANTITY]]</f>
        <v>6.0667340748230538E-3</v>
      </c>
      <c r="E15" s="33">
        <v>665</v>
      </c>
      <c r="F15" s="32">
        <f t="shared" si="0"/>
        <v>7980</v>
      </c>
      <c r="H15" s="25" t="s">
        <v>72</v>
      </c>
      <c r="I15" s="35">
        <v>77</v>
      </c>
      <c r="J15" s="32">
        <v>10000</v>
      </c>
      <c r="K15" s="32"/>
      <c r="L15" s="25"/>
      <c r="M15" s="35"/>
      <c r="N15" s="32"/>
    </row>
    <row r="16" spans="1:14" x14ac:dyDescent="0.25">
      <c r="B16" s="25" t="s">
        <v>16</v>
      </c>
      <c r="C16" s="25">
        <v>10</v>
      </c>
      <c r="D16" s="34">
        <f>Table14814[[#This Row],[QUANTITY]]/Table14814[[#Totals],[QUANTITY]]</f>
        <v>5.0556117290192111E-3</v>
      </c>
      <c r="E16" s="33">
        <v>338</v>
      </c>
      <c r="F16" s="32">
        <f t="shared" si="0"/>
        <v>3380</v>
      </c>
      <c r="H16" s="32" t="s">
        <v>73</v>
      </c>
      <c r="I16" s="35">
        <v>5</v>
      </c>
      <c r="J16" s="32">
        <v>38000</v>
      </c>
      <c r="M16" s="35"/>
      <c r="N16" s="32"/>
    </row>
    <row r="17" spans="2:14" x14ac:dyDescent="0.25">
      <c r="B17" s="25" t="s">
        <v>37</v>
      </c>
      <c r="C17" s="36">
        <v>145</v>
      </c>
      <c r="D17" s="34">
        <f>Table14814[[#This Row],[QUANTITY]]/Table14814[[#Totals],[QUANTITY]]</f>
        <v>7.3306370070778559E-2</v>
      </c>
      <c r="E17" s="32">
        <v>22</v>
      </c>
      <c r="F17" s="32">
        <f t="shared" si="0"/>
        <v>3190</v>
      </c>
      <c r="H17" s="32" t="s">
        <v>74</v>
      </c>
      <c r="I17" s="35">
        <v>1</v>
      </c>
      <c r="J17" s="32">
        <v>10000</v>
      </c>
      <c r="M17" s="35"/>
      <c r="N17" s="32"/>
    </row>
    <row r="18" spans="2:14" x14ac:dyDescent="0.25">
      <c r="B18" s="25" t="s">
        <v>64</v>
      </c>
      <c r="C18" s="25">
        <v>1</v>
      </c>
      <c r="D18" s="37">
        <f>Table14814[[#This Row],[QUANTITY]]/Table14814[[#Totals],[QUANTITY]]</f>
        <v>5.0556117290192115E-4</v>
      </c>
      <c r="E18" s="33">
        <f>30000/16</f>
        <v>1875</v>
      </c>
      <c r="F18" s="32">
        <f t="shared" si="0"/>
        <v>1875</v>
      </c>
      <c r="H18" s="32" t="s">
        <v>59</v>
      </c>
      <c r="I18" s="35">
        <v>1</v>
      </c>
      <c r="J18" s="32">
        <f>I5</f>
        <v>1</v>
      </c>
      <c r="M18" s="35"/>
      <c r="N18" s="32"/>
    </row>
    <row r="19" spans="2:14" x14ac:dyDescent="0.25">
      <c r="B19" s="25" t="s">
        <v>58</v>
      </c>
      <c r="C19" s="25">
        <f>SUBTOTAL(109,Table14814[QUANTITY])</f>
        <v>1978</v>
      </c>
      <c r="D19" s="38">
        <f>SUBTOTAL(109,Table14814[PERSEN])</f>
        <v>0.99999999999999989</v>
      </c>
      <c r="E19" s="33">
        <f>SUBTOTAL(109,Table14814[HARGA])</f>
        <v>3235.5059999999999</v>
      </c>
      <c r="F19" s="32">
        <f>SUBTOTAL(109,Table14814[TOTAL])</f>
        <v>42317.759999999995</v>
      </c>
      <c r="G19" s="33"/>
    </row>
    <row r="20" spans="2:14" ht="15" customHeight="1" x14ac:dyDescent="0.25">
      <c r="C20" s="39"/>
      <c r="D20" s="34"/>
    </row>
    <row r="21" spans="2:14" ht="15" customHeight="1" x14ac:dyDescent="0.25">
      <c r="B21" s="40"/>
      <c r="C21" s="40"/>
      <c r="D21" s="40"/>
      <c r="E21" s="40"/>
      <c r="H21" s="69" t="s">
        <v>75</v>
      </c>
      <c r="I21" s="69"/>
      <c r="J21" s="69"/>
      <c r="L21" s="69" t="s">
        <v>78</v>
      </c>
      <c r="M21" s="69"/>
      <c r="N21" s="69"/>
    </row>
    <row r="22" spans="2:14" ht="21" x14ac:dyDescent="0.35">
      <c r="B22" s="70" t="s">
        <v>85</v>
      </c>
      <c r="C22" s="70"/>
      <c r="D22" s="70"/>
      <c r="E22" s="70"/>
      <c r="H22" s="25" t="s">
        <v>66</v>
      </c>
      <c r="I22" s="25" t="s">
        <v>5</v>
      </c>
      <c r="J22" s="33" t="s">
        <v>6</v>
      </c>
      <c r="K22" s="33"/>
      <c r="L22" s="25" t="s">
        <v>66</v>
      </c>
      <c r="M22" s="25" t="s">
        <v>5</v>
      </c>
      <c r="N22" s="33" t="s">
        <v>6</v>
      </c>
    </row>
    <row r="23" spans="2:14" ht="21" x14ac:dyDescent="0.35">
      <c r="B23" s="27" t="s">
        <v>4</v>
      </c>
      <c r="C23" s="27" t="s">
        <v>5</v>
      </c>
      <c r="D23" s="28" t="s">
        <v>6</v>
      </c>
      <c r="E23" s="32" t="s">
        <v>7</v>
      </c>
      <c r="F23" s="41"/>
      <c r="H23" s="25" t="s">
        <v>29</v>
      </c>
      <c r="I23" s="25">
        <v>8</v>
      </c>
      <c r="J23" s="32">
        <f>$C$39*I23</f>
        <v>2016.2663583815026</v>
      </c>
      <c r="L23" s="25" t="s">
        <v>29</v>
      </c>
      <c r="M23" s="25">
        <v>7</v>
      </c>
      <c r="N23" s="32">
        <f>$C$39*M23</f>
        <v>1764.2330635838148</v>
      </c>
    </row>
    <row r="24" spans="2:14" x14ac:dyDescent="0.25">
      <c r="B24" s="25" t="s">
        <v>40</v>
      </c>
      <c r="C24" s="36">
        <f>Table14814[[#Totals],[QUANTITY]]*29%</f>
        <v>573.62</v>
      </c>
      <c r="D24" s="33">
        <f>Table14814[[#Totals],[TOTAL]]/Table14814[[#Totals],[QUANTITY]]</f>
        <v>21.394216380181998</v>
      </c>
      <c r="E24" s="32">
        <f>C24*D24</f>
        <v>12272.150399999999</v>
      </c>
      <c r="H24" s="25" t="s">
        <v>62</v>
      </c>
      <c r="I24" s="25">
        <v>1</v>
      </c>
      <c r="J24" s="32">
        <f>$J$10/$I$10</f>
        <v>880</v>
      </c>
      <c r="K24" s="33"/>
      <c r="L24" s="25" t="s">
        <v>71</v>
      </c>
      <c r="M24" s="25">
        <v>1</v>
      </c>
      <c r="N24" s="32">
        <f>$J$11/$I$11</f>
        <v>880</v>
      </c>
    </row>
    <row r="25" spans="2:14" x14ac:dyDescent="0.25">
      <c r="B25" s="25" t="s">
        <v>59</v>
      </c>
      <c r="C25" s="42">
        <v>1.8</v>
      </c>
      <c r="D25" s="33">
        <f>I5</f>
        <v>1</v>
      </c>
      <c r="E25" s="32">
        <f>C25*D25</f>
        <v>1.8</v>
      </c>
      <c r="H25" s="25" t="s">
        <v>19</v>
      </c>
      <c r="I25" s="25">
        <v>1</v>
      </c>
      <c r="J25" s="32">
        <f>$J$12/$I$12</f>
        <v>460</v>
      </c>
      <c r="L25" s="25" t="s">
        <v>19</v>
      </c>
      <c r="M25" s="25">
        <v>1</v>
      </c>
      <c r="N25" s="32">
        <f>$J$12/$I$12</f>
        <v>460</v>
      </c>
    </row>
    <row r="26" spans="2:14" x14ac:dyDescent="0.25">
      <c r="B26" s="25" t="s">
        <v>86</v>
      </c>
      <c r="C26" s="36">
        <v>40</v>
      </c>
      <c r="D26" s="33">
        <f>E6</f>
        <v>32</v>
      </c>
      <c r="E26" s="32">
        <f>C26*D26</f>
        <v>1280</v>
      </c>
      <c r="H26" s="25" t="s">
        <v>20</v>
      </c>
      <c r="I26" s="25">
        <v>1</v>
      </c>
      <c r="J26" s="32">
        <f>$J$13/$I$13</f>
        <v>200</v>
      </c>
      <c r="L26" s="25" t="s">
        <v>20</v>
      </c>
      <c r="M26" s="25">
        <v>1</v>
      </c>
      <c r="N26" s="32">
        <f>$J$13/$I$13</f>
        <v>200</v>
      </c>
    </row>
    <row r="27" spans="2:14" ht="15.75" thickBot="1" x14ac:dyDescent="0.3">
      <c r="B27" s="25" t="s">
        <v>79</v>
      </c>
      <c r="D27" s="25"/>
      <c r="E27" s="32">
        <f>SUBTOTAL(109,Table25101519[TOTAL])</f>
        <v>13553.950399999998</v>
      </c>
      <c r="H27" s="32" t="s">
        <v>72</v>
      </c>
      <c r="I27" s="36">
        <v>1</v>
      </c>
      <c r="J27" s="32">
        <f>$J$15/I15</f>
        <v>129.87012987012986</v>
      </c>
      <c r="L27" s="32" t="s">
        <v>72</v>
      </c>
      <c r="M27" s="36">
        <v>1</v>
      </c>
      <c r="N27" s="32">
        <f>$J$15/I15</f>
        <v>129.87012987012986</v>
      </c>
    </row>
    <row r="28" spans="2:14" ht="15.75" thickTop="1" x14ac:dyDescent="0.25">
      <c r="B28" s="25" t="s">
        <v>80</v>
      </c>
      <c r="C28" s="71">
        <v>50</v>
      </c>
      <c r="D28" s="71"/>
      <c r="E28" s="71"/>
      <c r="H28" s="43" t="s">
        <v>58</v>
      </c>
      <c r="I28" s="44"/>
      <c r="J28" s="45">
        <f>SUBTOTAL(109,Table51116[HARGA])</f>
        <v>3686.1364882516327</v>
      </c>
      <c r="L28" s="43" t="s">
        <v>58</v>
      </c>
      <c r="M28" s="44"/>
      <c r="N28" s="45">
        <f>SUBTOTAL(109,Table591318[HARGA])</f>
        <v>3434.1031934539446</v>
      </c>
    </row>
    <row r="29" spans="2:14" x14ac:dyDescent="0.25">
      <c r="B29" s="25" t="s">
        <v>82</v>
      </c>
      <c r="C29" s="69">
        <f>Table25101519[[#Totals],[TOTAL]]/C28</f>
        <v>271.07900799999993</v>
      </c>
      <c r="D29" s="69"/>
      <c r="E29" s="69"/>
      <c r="H29" s="72" t="s">
        <v>70</v>
      </c>
      <c r="I29" s="72"/>
      <c r="J29" s="46">
        <v>20000</v>
      </c>
      <c r="L29" s="72" t="s">
        <v>70</v>
      </c>
      <c r="M29" s="72"/>
      <c r="N29" s="46">
        <v>20000</v>
      </c>
    </row>
    <row r="30" spans="2:14" x14ac:dyDescent="0.25">
      <c r="H30" s="67" t="s">
        <v>67</v>
      </c>
      <c r="I30" s="67"/>
      <c r="J30" s="32">
        <f>J29-Table51116[[#Totals],[HARGA]]</f>
        <v>16313.863511748368</v>
      </c>
      <c r="L30" s="67" t="s">
        <v>67</v>
      </c>
      <c r="M30" s="67"/>
      <c r="N30" s="32">
        <f>N29-Table591318[[#Totals],[HARGA]]</f>
        <v>16565.896806546054</v>
      </c>
    </row>
    <row r="31" spans="2:14" x14ac:dyDescent="0.25">
      <c r="H31" s="67" t="s">
        <v>68</v>
      </c>
      <c r="I31" s="67"/>
      <c r="J31" s="34">
        <f>J30/J29</f>
        <v>0.81569317558741838</v>
      </c>
      <c r="L31" s="67" t="s">
        <v>68</v>
      </c>
      <c r="M31" s="67"/>
      <c r="N31" s="34">
        <f>N30/N29</f>
        <v>0.82829484032730272</v>
      </c>
    </row>
    <row r="32" spans="2:14" ht="21" x14ac:dyDescent="0.35">
      <c r="B32" s="70" t="s">
        <v>84</v>
      </c>
      <c r="C32" s="70"/>
      <c r="D32" s="70"/>
      <c r="E32" s="70"/>
      <c r="H32" s="68" t="s">
        <v>69</v>
      </c>
      <c r="I32" s="68"/>
      <c r="J32" s="34">
        <f>Table51116[[#Totals],[HARGA]]/J29</f>
        <v>0.18430682441258164</v>
      </c>
      <c r="L32" s="68" t="s">
        <v>69</v>
      </c>
      <c r="M32" s="68"/>
      <c r="N32" s="34">
        <f>Table591318[[#Totals],[HARGA]]/N29</f>
        <v>0.17170515967269723</v>
      </c>
    </row>
    <row r="33" spans="1:14" x14ac:dyDescent="0.25">
      <c r="B33" s="27" t="s">
        <v>4</v>
      </c>
      <c r="C33" s="27" t="s">
        <v>5</v>
      </c>
      <c r="D33" s="28" t="s">
        <v>6</v>
      </c>
      <c r="E33" s="32" t="s">
        <v>7</v>
      </c>
    </row>
    <row r="34" spans="1:14" x14ac:dyDescent="0.25">
      <c r="B34" s="25" t="s">
        <v>40</v>
      </c>
      <c r="C34" s="36">
        <f>Table14814[[#Totals],[QUANTITY]]</f>
        <v>1978</v>
      </c>
      <c r="D34" s="33">
        <f>Table14814[[#Totals],[TOTAL]]/C34</f>
        <v>21.394216380181998</v>
      </c>
      <c r="E34" s="32">
        <f>C34*D34</f>
        <v>42317.759999999995</v>
      </c>
      <c r="I34" s="47"/>
      <c r="J34" s="73"/>
      <c r="K34" s="73"/>
      <c r="L34" s="69"/>
      <c r="M34" s="69"/>
      <c r="N34" s="69"/>
    </row>
    <row r="35" spans="1:14" x14ac:dyDescent="0.25">
      <c r="B35" s="25" t="s">
        <v>59</v>
      </c>
      <c r="C35" s="36">
        <v>4</v>
      </c>
      <c r="D35" s="33">
        <f>I5</f>
        <v>1</v>
      </c>
      <c r="E35" s="32">
        <f>C35*D35</f>
        <v>4</v>
      </c>
      <c r="L35" s="25"/>
      <c r="M35" s="25"/>
      <c r="N35" s="33"/>
    </row>
    <row r="36" spans="1:14" x14ac:dyDescent="0.25">
      <c r="B36" s="25" t="s">
        <v>25</v>
      </c>
      <c r="C36" s="36">
        <v>40</v>
      </c>
      <c r="D36" s="33">
        <f>E6</f>
        <v>32</v>
      </c>
      <c r="E36" s="32">
        <f>C36*D36</f>
        <v>1280</v>
      </c>
      <c r="H36" s="69" t="s">
        <v>76</v>
      </c>
      <c r="I36" s="69"/>
      <c r="J36" s="69"/>
      <c r="L36" s="69" t="s">
        <v>87</v>
      </c>
      <c r="M36" s="69"/>
      <c r="N36" s="69"/>
    </row>
    <row r="37" spans="1:14" x14ac:dyDescent="0.25">
      <c r="B37" s="25" t="s">
        <v>79</v>
      </c>
      <c r="D37" s="25"/>
      <c r="E37" s="32">
        <f>SUBTOTAL(109,Table251015[TOTAL])</f>
        <v>43601.759999999995</v>
      </c>
      <c r="H37" s="25" t="s">
        <v>66</v>
      </c>
      <c r="I37" s="25" t="s">
        <v>5</v>
      </c>
      <c r="J37" s="33" t="s">
        <v>6</v>
      </c>
      <c r="L37" s="25" t="s">
        <v>66</v>
      </c>
      <c r="M37" s="25" t="s">
        <v>5</v>
      </c>
      <c r="N37" s="33" t="s">
        <v>6</v>
      </c>
    </row>
    <row r="38" spans="1:14" x14ac:dyDescent="0.25">
      <c r="B38" s="25" t="s">
        <v>80</v>
      </c>
      <c r="C38" s="71">
        <f>123+50</f>
        <v>173</v>
      </c>
      <c r="D38" s="71"/>
      <c r="E38" s="71"/>
      <c r="H38" s="25" t="s">
        <v>29</v>
      </c>
      <c r="I38" s="25">
        <v>8</v>
      </c>
      <c r="J38" s="32">
        <f>$C$39*I38</f>
        <v>2016.2663583815026</v>
      </c>
      <c r="L38" s="25" t="s">
        <v>29</v>
      </c>
      <c r="M38" s="25">
        <v>10</v>
      </c>
      <c r="N38" s="32">
        <f>$C$29*$M$38</f>
        <v>2710.7900799999993</v>
      </c>
    </row>
    <row r="39" spans="1:14" x14ac:dyDescent="0.25">
      <c r="B39" s="25" t="s">
        <v>82</v>
      </c>
      <c r="C39" s="69">
        <f>Table251015[[#Totals],[TOTAL]]/C38</f>
        <v>252.03329479768783</v>
      </c>
      <c r="D39" s="69"/>
      <c r="E39" s="69"/>
      <c r="H39" s="25" t="s">
        <v>77</v>
      </c>
      <c r="I39" s="25">
        <v>1</v>
      </c>
      <c r="J39" s="32">
        <f>$J$14/$I$14</f>
        <v>1040</v>
      </c>
      <c r="L39" s="25" t="s">
        <v>77</v>
      </c>
      <c r="M39" s="25">
        <v>1</v>
      </c>
      <c r="N39" s="32">
        <f>$J$14/$I$14</f>
        <v>1040</v>
      </c>
    </row>
    <row r="40" spans="1:14" x14ac:dyDescent="0.25">
      <c r="B40" s="25" t="s">
        <v>81</v>
      </c>
      <c r="C40" s="69"/>
      <c r="D40" s="69"/>
      <c r="E40" s="69"/>
      <c r="H40" s="25" t="s">
        <v>19</v>
      </c>
      <c r="I40" s="25">
        <v>1</v>
      </c>
      <c r="J40" s="32">
        <f>$J$12/$I$12</f>
        <v>460</v>
      </c>
      <c r="L40" s="25" t="s">
        <v>19</v>
      </c>
      <c r="M40" s="25">
        <v>1</v>
      </c>
      <c r="N40" s="32">
        <f>$J$12/$I$12</f>
        <v>460</v>
      </c>
    </row>
    <row r="41" spans="1:14" ht="15.75" thickBot="1" x14ac:dyDescent="0.3">
      <c r="D41" s="34"/>
      <c r="H41" s="32" t="s">
        <v>72</v>
      </c>
      <c r="I41" s="36">
        <v>1</v>
      </c>
      <c r="J41" s="32">
        <f>$J$15/$I$15</f>
        <v>129.87012987012986</v>
      </c>
      <c r="L41" s="32" t="s">
        <v>72</v>
      </c>
      <c r="M41" s="36">
        <v>1</v>
      </c>
      <c r="N41" s="32">
        <f>$J$15/$I$15</f>
        <v>129.87012987012986</v>
      </c>
    </row>
    <row r="42" spans="1:14" ht="15.75" thickTop="1" x14ac:dyDescent="0.25">
      <c r="B42" s="32"/>
      <c r="H42" s="43" t="s">
        <v>58</v>
      </c>
      <c r="I42" s="44"/>
      <c r="J42" s="45">
        <f>SUBTOTAL(109,Table571217[HARGA])</f>
        <v>3646.1364882516327</v>
      </c>
      <c r="L42" s="43" t="s">
        <v>58</v>
      </c>
      <c r="M42" s="44"/>
      <c r="N42" s="45">
        <f>SUBTOTAL(109,Table57121720[HARGA])</f>
        <v>4340.6602098701287</v>
      </c>
    </row>
    <row r="43" spans="1:14" x14ac:dyDescent="0.25">
      <c r="H43" s="72" t="s">
        <v>70</v>
      </c>
      <c r="I43" s="72"/>
      <c r="J43" s="46">
        <v>20000</v>
      </c>
      <c r="L43" s="72" t="s">
        <v>70</v>
      </c>
      <c r="M43" s="72"/>
      <c r="N43" s="46">
        <v>25000</v>
      </c>
    </row>
    <row r="44" spans="1:14" x14ac:dyDescent="0.25">
      <c r="H44" s="67" t="s">
        <v>67</v>
      </c>
      <c r="I44" s="67"/>
      <c r="J44" s="32">
        <f>J43-Table571217[[#Totals],[HARGA]]</f>
        <v>16353.863511748368</v>
      </c>
      <c r="L44" s="67" t="s">
        <v>67</v>
      </c>
      <c r="M44" s="67"/>
      <c r="N44" s="32">
        <f>N43-Table57121720[[#Totals],[HARGA]]</f>
        <v>20659.33979012987</v>
      </c>
    </row>
    <row r="45" spans="1:14" x14ac:dyDescent="0.25">
      <c r="F45" s="25"/>
      <c r="H45" s="67" t="s">
        <v>68</v>
      </c>
      <c r="I45" s="67"/>
      <c r="J45" s="34">
        <f>J44/J43</f>
        <v>0.81769317558741839</v>
      </c>
      <c r="L45" s="67" t="s">
        <v>68</v>
      </c>
      <c r="M45" s="67"/>
      <c r="N45" s="34">
        <f>N44/N43</f>
        <v>0.82637359160519486</v>
      </c>
    </row>
    <row r="46" spans="1:14" x14ac:dyDescent="0.25">
      <c r="H46" s="68" t="s">
        <v>69</v>
      </c>
      <c r="I46" s="68"/>
      <c r="J46" s="34">
        <f>Table571217[[#Totals],[HARGA]]/J43</f>
        <v>0.18230682441258164</v>
      </c>
      <c r="L46" s="68" t="s">
        <v>69</v>
      </c>
      <c r="M46" s="68"/>
      <c r="N46" s="34">
        <f>Table57121720[[#Totals],[HARGA]]/N43</f>
        <v>0.17362640839480514</v>
      </c>
    </row>
    <row r="47" spans="1:14" ht="29.25" customHeight="1" x14ac:dyDescent="0.35">
      <c r="B47" s="70"/>
      <c r="C47" s="70"/>
      <c r="D47" s="70"/>
      <c r="E47" s="70"/>
      <c r="F47" s="70"/>
      <c r="G47" s="70"/>
      <c r="L47" s="33"/>
    </row>
    <row r="48" spans="1:14" x14ac:dyDescent="0.25">
      <c r="A48" s="26"/>
      <c r="B48" s="26"/>
      <c r="C48" s="27"/>
      <c r="D48" s="28"/>
      <c r="E48" s="29"/>
      <c r="F48" s="27"/>
      <c r="G48" s="27"/>
      <c r="H48" s="33"/>
      <c r="L48" s="33"/>
    </row>
    <row r="49" spans="1:12" x14ac:dyDescent="0.25">
      <c r="A49" s="30"/>
      <c r="B49" s="30"/>
      <c r="D49" s="31"/>
      <c r="F49" s="25"/>
      <c r="G49" s="32"/>
      <c r="H49" s="33"/>
      <c r="L49" s="33"/>
    </row>
    <row r="50" spans="1:12" x14ac:dyDescent="0.25">
      <c r="F50" s="25"/>
      <c r="H50" s="33"/>
      <c r="L50" s="33"/>
    </row>
    <row r="51" spans="1:12" x14ac:dyDescent="0.25">
      <c r="F51" s="25"/>
      <c r="H51" s="33"/>
      <c r="L51" s="33"/>
    </row>
    <row r="52" spans="1:12" x14ac:dyDescent="0.25">
      <c r="F52" s="25"/>
      <c r="H52" s="33"/>
      <c r="L52" s="33"/>
    </row>
    <row r="53" spans="1:12" x14ac:dyDescent="0.25">
      <c r="F53" s="25"/>
      <c r="H53" s="31"/>
      <c r="L53" s="31"/>
    </row>
  </sheetData>
  <mergeCells count="33">
    <mergeCell ref="B32:E32"/>
    <mergeCell ref="H30:I30"/>
    <mergeCell ref="L30:M30"/>
    <mergeCell ref="B1:E2"/>
    <mergeCell ref="A3:B3"/>
    <mergeCell ref="H8:K9"/>
    <mergeCell ref="H21:J21"/>
    <mergeCell ref="L21:N21"/>
    <mergeCell ref="B22:E22"/>
    <mergeCell ref="C28:E28"/>
    <mergeCell ref="C29:E29"/>
    <mergeCell ref="H43:I43"/>
    <mergeCell ref="L43:M43"/>
    <mergeCell ref="H31:I31"/>
    <mergeCell ref="L31:M31"/>
    <mergeCell ref="H32:I32"/>
    <mergeCell ref="L32:M32"/>
    <mergeCell ref="L34:N34"/>
    <mergeCell ref="H36:J36"/>
    <mergeCell ref="L36:N36"/>
    <mergeCell ref="J34:K34"/>
    <mergeCell ref="C38:E38"/>
    <mergeCell ref="H29:I29"/>
    <mergeCell ref="L29:M29"/>
    <mergeCell ref="L45:M45"/>
    <mergeCell ref="L46:M46"/>
    <mergeCell ref="C39:E39"/>
    <mergeCell ref="C40:E40"/>
    <mergeCell ref="B47:G47"/>
    <mergeCell ref="H45:I45"/>
    <mergeCell ref="H46:I46"/>
    <mergeCell ref="H44:I44"/>
    <mergeCell ref="L44:M44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7079-3F9A-41C2-9141-CE90D2199595}">
  <dimension ref="A1:N53"/>
  <sheetViews>
    <sheetView workbookViewId="0">
      <selection activeCell="D9" sqref="D9"/>
    </sheetView>
  </sheetViews>
  <sheetFormatPr defaultRowHeight="15" x14ac:dyDescent="0.25"/>
  <cols>
    <col min="1" max="1" width="5.5703125" style="25" customWidth="1"/>
    <col min="2" max="2" width="24.5703125" style="25" customWidth="1"/>
    <col min="3" max="3" width="16.5703125" style="25" customWidth="1"/>
    <col min="4" max="4" width="16.5703125" style="33" customWidth="1"/>
    <col min="5" max="6" width="16.5703125" style="32" customWidth="1"/>
    <col min="7" max="7" width="14" style="25" customWidth="1"/>
    <col min="8" max="8" width="28.7109375" style="32" customWidth="1"/>
    <col min="9" max="9" width="16.42578125" style="32" bestFit="1" customWidth="1"/>
    <col min="10" max="10" width="18.5703125" style="25" customWidth="1"/>
    <col min="11" max="11" width="7.85546875" style="34" customWidth="1"/>
    <col min="12" max="12" width="28.7109375" style="32" customWidth="1"/>
    <col min="13" max="13" width="16.42578125" style="32" bestFit="1" customWidth="1"/>
    <col min="14" max="14" width="18.5703125" style="25" customWidth="1"/>
    <col min="15" max="16384" width="9.140625" style="25"/>
  </cols>
  <sheetData>
    <row r="1" spans="1:14" x14ac:dyDescent="0.25">
      <c r="B1" s="74" t="s">
        <v>111</v>
      </c>
      <c r="C1" s="74"/>
      <c r="D1" s="74"/>
      <c r="E1" s="74"/>
    </row>
    <row r="2" spans="1:14" x14ac:dyDescent="0.25">
      <c r="B2" s="74"/>
      <c r="C2" s="74"/>
      <c r="D2" s="74"/>
      <c r="E2" s="74"/>
      <c r="H2" s="32" t="s">
        <v>112</v>
      </c>
      <c r="I2" s="32" t="s">
        <v>5</v>
      </c>
      <c r="J2" s="25" t="s">
        <v>6</v>
      </c>
      <c r="K2" s="34" t="s">
        <v>113</v>
      </c>
      <c r="L2" s="32" t="s">
        <v>114</v>
      </c>
    </row>
    <row r="3" spans="1:14" x14ac:dyDescent="0.25">
      <c r="A3" s="75">
        <v>46289</v>
      </c>
      <c r="B3" s="75"/>
      <c r="H3" s="32" t="s">
        <v>13</v>
      </c>
      <c r="I3" s="25">
        <v>5</v>
      </c>
      <c r="J3" s="25">
        <v>40000</v>
      </c>
      <c r="K3" s="34">
        <f>4/I3</f>
        <v>0.8</v>
      </c>
      <c r="L3" s="32">
        <f>(J3*5/3)</f>
        <v>66666.666666666672</v>
      </c>
    </row>
    <row r="4" spans="1:14" x14ac:dyDescent="0.25">
      <c r="B4" s="27" t="s">
        <v>4</v>
      </c>
      <c r="C4" s="27" t="s">
        <v>5</v>
      </c>
      <c r="D4" s="33" t="s">
        <v>27</v>
      </c>
      <c r="E4" s="28" t="s">
        <v>6</v>
      </c>
      <c r="F4" s="29" t="s">
        <v>7</v>
      </c>
      <c r="H4" s="32" t="s">
        <v>24</v>
      </c>
      <c r="I4" s="25">
        <v>1</v>
      </c>
      <c r="J4" s="25">
        <v>12000</v>
      </c>
      <c r="K4" s="34">
        <f>0.45/1</f>
        <v>0.45</v>
      </c>
      <c r="L4" s="32">
        <f>(12000/450)*1000</f>
        <v>26666.666666666668</v>
      </c>
    </row>
    <row r="5" spans="1:14" x14ac:dyDescent="0.25">
      <c r="B5" s="25" t="s">
        <v>0</v>
      </c>
      <c r="C5" s="25">
        <v>1025</v>
      </c>
      <c r="D5" s="34">
        <f>Table148142129[[#This Row],[QUANTITY]]/Table148142129[[#Totals],[QUANTITY]]</f>
        <v>0.48996175908221795</v>
      </c>
      <c r="E5" s="33">
        <f>L3/1000</f>
        <v>66.666666666666671</v>
      </c>
      <c r="F5" s="32">
        <f>E5*C5+10000</f>
        <v>78333.333333333343</v>
      </c>
      <c r="H5" s="25" t="s">
        <v>8</v>
      </c>
      <c r="I5" s="25">
        <v>1</v>
      </c>
      <c r="J5" s="25">
        <v>13000</v>
      </c>
      <c r="K5" s="34">
        <f>0.8/1</f>
        <v>0.8</v>
      </c>
      <c r="L5" s="25">
        <f>J5/800</f>
        <v>16.25</v>
      </c>
    </row>
    <row r="6" spans="1:14" x14ac:dyDescent="0.25">
      <c r="B6" s="25" t="s">
        <v>25</v>
      </c>
      <c r="C6" s="25">
        <v>150</v>
      </c>
      <c r="D6" s="34">
        <f>Table148142129[[#This Row],[QUANTITY]]/Table148142129[[#Totals],[QUANTITY]]</f>
        <v>7.1701720841300193E-2</v>
      </c>
      <c r="E6" s="33">
        <v>32</v>
      </c>
      <c r="F6" s="32">
        <f t="shared" ref="F6:F18" si="0">E6*C6</f>
        <v>4800</v>
      </c>
      <c r="H6" s="25" t="s">
        <v>26</v>
      </c>
      <c r="L6" s="32">
        <v>7500</v>
      </c>
    </row>
    <row r="7" spans="1:14" x14ac:dyDescent="0.25">
      <c r="B7" s="25" t="s">
        <v>2</v>
      </c>
      <c r="C7" s="25">
        <v>135</v>
      </c>
      <c r="D7" s="34">
        <f>Table148142129[[#This Row],[QUANTITY]]/Table148142129[[#Totals],[QUANTITY]]</f>
        <v>6.4531548757170168E-2</v>
      </c>
      <c r="E7" s="33">
        <f>L4/1000</f>
        <v>26.666666666666668</v>
      </c>
      <c r="F7" s="32">
        <f t="shared" si="0"/>
        <v>3600</v>
      </c>
    </row>
    <row r="8" spans="1:14" x14ac:dyDescent="0.25">
      <c r="B8" s="25" t="s">
        <v>8</v>
      </c>
      <c r="C8" s="25">
        <v>400</v>
      </c>
      <c r="D8" s="34">
        <f>Table148142129[[#This Row],[QUANTITY]]/Table148142129[[#Totals],[QUANTITY]]</f>
        <v>0.19120458891013384</v>
      </c>
      <c r="E8" s="33">
        <f>L5</f>
        <v>16.25</v>
      </c>
      <c r="F8" s="32">
        <f t="shared" si="0"/>
        <v>6500</v>
      </c>
      <c r="H8" s="74" t="s">
        <v>14</v>
      </c>
      <c r="I8" s="74"/>
      <c r="J8" s="74"/>
      <c r="K8" s="74"/>
      <c r="L8" s="25"/>
      <c r="M8" s="25"/>
    </row>
    <row r="9" spans="1:14" x14ac:dyDescent="0.25">
      <c r="B9" s="25" t="s">
        <v>17</v>
      </c>
      <c r="D9" s="34">
        <f>Table148142129[[#This Row],[QUANTITY]]/Table148142129[[#Totals],[QUANTITY]]</f>
        <v>0</v>
      </c>
      <c r="E9" s="33">
        <v>10</v>
      </c>
      <c r="F9" s="32">
        <f t="shared" si="0"/>
        <v>0</v>
      </c>
      <c r="H9" s="74"/>
      <c r="I9" s="74"/>
      <c r="J9" s="74"/>
      <c r="K9" s="74"/>
      <c r="L9" s="25"/>
      <c r="M9" s="25"/>
    </row>
    <row r="10" spans="1:14" x14ac:dyDescent="0.25">
      <c r="B10" s="25" t="s">
        <v>36</v>
      </c>
      <c r="C10" s="25">
        <v>130</v>
      </c>
      <c r="D10" s="34">
        <f>Table148142129[[#This Row],[QUANTITY]]/Table148142129[[#Totals],[QUANTITY]]</f>
        <v>6.2141491395793502E-2</v>
      </c>
      <c r="E10" s="32">
        <v>35</v>
      </c>
      <c r="F10" s="32">
        <f t="shared" si="0"/>
        <v>4550</v>
      </c>
      <c r="H10" s="25" t="s">
        <v>62</v>
      </c>
      <c r="I10" s="35">
        <v>50</v>
      </c>
      <c r="J10" s="32">
        <v>44000</v>
      </c>
      <c r="L10" s="25"/>
      <c r="M10" s="35"/>
      <c r="N10" s="32"/>
    </row>
    <row r="11" spans="1:14" x14ac:dyDescent="0.25">
      <c r="B11" s="25" t="s">
        <v>9</v>
      </c>
      <c r="C11" s="25">
        <v>2</v>
      </c>
      <c r="D11" s="34">
        <f>Table148142129[[#This Row],[QUANTITY]]/Table148142129[[#Totals],[QUANTITY]]</f>
        <v>9.5602294455066918E-4</v>
      </c>
      <c r="E11" s="33">
        <v>54</v>
      </c>
      <c r="F11" s="32">
        <f t="shared" si="0"/>
        <v>108</v>
      </c>
      <c r="H11" s="25" t="s">
        <v>71</v>
      </c>
      <c r="I11" s="35">
        <v>50</v>
      </c>
      <c r="J11" s="32">
        <f>820*I11</f>
        <v>41000</v>
      </c>
      <c r="L11" s="25"/>
      <c r="M11" s="35"/>
      <c r="N11" s="32"/>
    </row>
    <row r="12" spans="1:14" x14ac:dyDescent="0.25">
      <c r="B12" s="25" t="s">
        <v>10</v>
      </c>
      <c r="C12" s="25">
        <v>15</v>
      </c>
      <c r="D12" s="34">
        <f>Table148142129[[#This Row],[QUANTITY]]/Table148142129[[#Totals],[QUANTITY]]</f>
        <v>7.1701720841300188E-3</v>
      </c>
      <c r="E12" s="33">
        <v>19</v>
      </c>
      <c r="F12" s="32">
        <f t="shared" si="0"/>
        <v>285</v>
      </c>
      <c r="H12" s="25" t="s">
        <v>19</v>
      </c>
      <c r="I12" s="35">
        <v>100</v>
      </c>
      <c r="J12" s="32">
        <f>460*100</f>
        <v>46000</v>
      </c>
      <c r="L12" s="25"/>
      <c r="M12" s="35"/>
      <c r="N12" s="32"/>
    </row>
    <row r="13" spans="1:14" x14ac:dyDescent="0.25">
      <c r="B13" s="25" t="s">
        <v>11</v>
      </c>
      <c r="C13" s="25">
        <v>15</v>
      </c>
      <c r="D13" s="34">
        <f>Table148142129[[#This Row],[QUANTITY]]/Table148142129[[#Totals],[QUANTITY]]</f>
        <v>7.1701720841300188E-3</v>
      </c>
      <c r="E13" s="33">
        <v>10</v>
      </c>
      <c r="F13" s="32">
        <f t="shared" si="0"/>
        <v>150</v>
      </c>
      <c r="H13" s="25" t="s">
        <v>20</v>
      </c>
      <c r="I13" s="35">
        <v>50</v>
      </c>
      <c r="J13" s="32">
        <v>10000</v>
      </c>
      <c r="L13" s="25"/>
      <c r="M13" s="35"/>
      <c r="N13" s="32"/>
    </row>
    <row r="14" spans="1:14" x14ac:dyDescent="0.25">
      <c r="B14" s="25" t="s">
        <v>12</v>
      </c>
      <c r="C14" s="25">
        <v>5</v>
      </c>
      <c r="D14" s="34">
        <f>Table148142129[[#This Row],[QUANTITY]]/Table148142129[[#Totals],[QUANTITY]]</f>
        <v>2.3900573613766731E-3</v>
      </c>
      <c r="E14" s="33">
        <v>162.5</v>
      </c>
      <c r="F14" s="32">
        <f t="shared" si="0"/>
        <v>812.5</v>
      </c>
      <c r="H14" s="25" t="s">
        <v>21</v>
      </c>
      <c r="I14" s="35">
        <v>25</v>
      </c>
      <c r="J14" s="32">
        <v>26000</v>
      </c>
      <c r="L14" s="25"/>
      <c r="M14" s="35"/>
      <c r="N14" s="32"/>
    </row>
    <row r="15" spans="1:14" x14ac:dyDescent="0.25">
      <c r="B15" s="25" t="s">
        <v>15</v>
      </c>
      <c r="C15" s="25">
        <v>24</v>
      </c>
      <c r="D15" s="34">
        <f>Table148142129[[#This Row],[QUANTITY]]/Table148142129[[#Totals],[QUANTITY]]</f>
        <v>1.1472275334608031E-2</v>
      </c>
      <c r="E15" s="33">
        <v>665</v>
      </c>
      <c r="F15" s="32">
        <f t="shared" si="0"/>
        <v>15960</v>
      </c>
      <c r="H15" s="25" t="s">
        <v>72</v>
      </c>
      <c r="I15" s="35">
        <v>77</v>
      </c>
      <c r="J15" s="32">
        <v>10000</v>
      </c>
      <c r="L15" s="25"/>
      <c r="M15" s="35"/>
      <c r="N15" s="32"/>
    </row>
    <row r="16" spans="1:14" x14ac:dyDescent="0.25">
      <c r="B16" s="25" t="s">
        <v>16</v>
      </c>
      <c r="C16" s="25">
        <v>10</v>
      </c>
      <c r="D16" s="34">
        <f>Table148142129[[#This Row],[QUANTITY]]/Table148142129[[#Totals],[QUANTITY]]</f>
        <v>4.7801147227533461E-3</v>
      </c>
      <c r="E16" s="33">
        <v>338</v>
      </c>
      <c r="F16" s="32">
        <f t="shared" si="0"/>
        <v>3380</v>
      </c>
      <c r="H16" s="32" t="s">
        <v>73</v>
      </c>
      <c r="I16" s="35">
        <v>5</v>
      </c>
      <c r="J16" s="32">
        <v>38000</v>
      </c>
      <c r="M16" s="35"/>
      <c r="N16" s="32"/>
    </row>
    <row r="17" spans="2:14" x14ac:dyDescent="0.25">
      <c r="B17" s="25" t="s">
        <v>37</v>
      </c>
      <c r="C17" s="36">
        <v>180</v>
      </c>
      <c r="D17" s="34">
        <f>Table148142129[[#This Row],[QUANTITY]]/Table148142129[[#Totals],[QUANTITY]]</f>
        <v>8.6042065009560229E-2</v>
      </c>
      <c r="E17" s="32">
        <v>22</v>
      </c>
      <c r="F17" s="32">
        <f t="shared" si="0"/>
        <v>3960</v>
      </c>
      <c r="H17" s="32" t="s">
        <v>74</v>
      </c>
      <c r="I17" s="35">
        <v>1</v>
      </c>
      <c r="J17" s="32">
        <v>10000</v>
      </c>
      <c r="M17" s="35"/>
      <c r="N17" s="32"/>
    </row>
    <row r="18" spans="2:14" x14ac:dyDescent="0.25">
      <c r="B18" s="25" t="s">
        <v>64</v>
      </c>
      <c r="C18" s="25">
        <v>1</v>
      </c>
      <c r="D18" s="37">
        <f>Table148142129[[#This Row],[QUANTITY]]/Table148142129[[#Totals],[QUANTITY]]</f>
        <v>4.7801147227533459E-4</v>
      </c>
      <c r="E18" s="33">
        <f>30000/16</f>
        <v>1875</v>
      </c>
      <c r="F18" s="32">
        <f t="shared" si="0"/>
        <v>1875</v>
      </c>
      <c r="H18" s="32" t="s">
        <v>59</v>
      </c>
      <c r="I18" s="35">
        <v>1</v>
      </c>
      <c r="J18" s="32">
        <f>L6</f>
        <v>7500</v>
      </c>
      <c r="M18" s="35"/>
      <c r="N18" s="32"/>
    </row>
    <row r="19" spans="2:14" x14ac:dyDescent="0.25">
      <c r="B19" s="25" t="s">
        <v>58</v>
      </c>
      <c r="C19" s="25">
        <f>SUBTOTAL(109,Table148142129[QUANTITY])</f>
        <v>2092</v>
      </c>
      <c r="D19" s="38">
        <f>SUBTOTAL(109,Table148142129[PERSEN])</f>
        <v>1</v>
      </c>
      <c r="E19" s="33">
        <f>SUBTOTAL(109,Table148142129[HARGA])</f>
        <v>3332.0833333333335</v>
      </c>
      <c r="F19" s="32">
        <f>SUBTOTAL(109,Table148142129[TOTAL])</f>
        <v>124313.83333333334</v>
      </c>
      <c r="G19" s="33"/>
    </row>
    <row r="20" spans="2:14" ht="15" customHeight="1" x14ac:dyDescent="0.25">
      <c r="C20" s="39"/>
      <c r="D20" s="34"/>
    </row>
    <row r="21" spans="2:14" ht="15" customHeight="1" x14ac:dyDescent="0.25">
      <c r="B21" s="40"/>
      <c r="C21" s="40"/>
      <c r="D21" s="40"/>
      <c r="E21" s="40"/>
      <c r="H21" s="69" t="s">
        <v>75</v>
      </c>
      <c r="I21" s="69"/>
      <c r="J21" s="69"/>
      <c r="L21" s="69" t="s">
        <v>78</v>
      </c>
      <c r="M21" s="69"/>
      <c r="N21" s="69"/>
    </row>
    <row r="22" spans="2:14" x14ac:dyDescent="0.25">
      <c r="H22" s="25" t="s">
        <v>66</v>
      </c>
      <c r="I22" s="25" t="s">
        <v>5</v>
      </c>
      <c r="J22" s="33" t="s">
        <v>6</v>
      </c>
      <c r="L22" s="25" t="s">
        <v>66</v>
      </c>
      <c r="M22" s="25" t="s">
        <v>5</v>
      </c>
      <c r="N22" s="33" t="s">
        <v>6</v>
      </c>
    </row>
    <row r="23" spans="2:14" ht="21" x14ac:dyDescent="0.35">
      <c r="B23" s="70" t="s">
        <v>110</v>
      </c>
      <c r="C23" s="70"/>
      <c r="D23" s="70"/>
      <c r="E23" s="70"/>
      <c r="F23" s="41"/>
      <c r="H23" s="25" t="s">
        <v>29</v>
      </c>
      <c r="I23" s="25">
        <v>8</v>
      </c>
      <c r="J23" s="32">
        <f>$C$30*I23</f>
        <v>7337.1215686274518</v>
      </c>
      <c r="L23" s="25" t="s">
        <v>29</v>
      </c>
      <c r="M23" s="25">
        <v>7</v>
      </c>
      <c r="N23" s="32">
        <f>$C$30*M23</f>
        <v>6419.9813725490203</v>
      </c>
    </row>
    <row r="24" spans="2:14" x14ac:dyDescent="0.25">
      <c r="B24" s="27" t="s">
        <v>4</v>
      </c>
      <c r="C24" s="27" t="s">
        <v>5</v>
      </c>
      <c r="D24" s="28" t="s">
        <v>6</v>
      </c>
      <c r="E24" s="32" t="s">
        <v>7</v>
      </c>
      <c r="H24" s="25" t="s">
        <v>71</v>
      </c>
      <c r="I24" s="25">
        <v>1</v>
      </c>
      <c r="J24" s="32">
        <f>J11/I11</f>
        <v>820</v>
      </c>
      <c r="L24" s="25" t="s">
        <v>71</v>
      </c>
      <c r="M24" s="25">
        <v>1</v>
      </c>
      <c r="N24" s="32">
        <f>$J$11/$I$11</f>
        <v>820</v>
      </c>
    </row>
    <row r="25" spans="2:14" x14ac:dyDescent="0.25">
      <c r="B25" s="25" t="s">
        <v>40</v>
      </c>
      <c r="C25" s="36">
        <f>Table148142129[[#Totals],[QUANTITY]]</f>
        <v>2092</v>
      </c>
      <c r="D25" s="33">
        <f>Table148142129[[#Totals],[TOTAL]]/C25</f>
        <v>59.423438495857241</v>
      </c>
      <c r="E25" s="32">
        <f>C25*D25</f>
        <v>124313.83333333334</v>
      </c>
      <c r="H25" s="25" t="s">
        <v>19</v>
      </c>
      <c r="I25" s="25">
        <v>1</v>
      </c>
      <c r="J25" s="32">
        <f>$J$12/$I$12</f>
        <v>460</v>
      </c>
      <c r="L25" s="25" t="s">
        <v>19</v>
      </c>
      <c r="M25" s="25">
        <v>1</v>
      </c>
      <c r="N25" s="32">
        <f>$J$12/$I$12</f>
        <v>460</v>
      </c>
    </row>
    <row r="26" spans="2:14" x14ac:dyDescent="0.25">
      <c r="B26" s="25" t="s">
        <v>59</v>
      </c>
      <c r="C26" s="36">
        <v>4</v>
      </c>
      <c r="D26" s="33">
        <f>L6</f>
        <v>7500</v>
      </c>
      <c r="E26" s="32">
        <f>C26*D26</f>
        <v>30000</v>
      </c>
      <c r="H26" s="25" t="s">
        <v>20</v>
      </c>
      <c r="I26" s="25">
        <v>1</v>
      </c>
      <c r="J26" s="32">
        <f>$J$13/$I$13</f>
        <v>200</v>
      </c>
      <c r="L26" s="25" t="s">
        <v>20</v>
      </c>
      <c r="M26" s="25">
        <v>1</v>
      </c>
      <c r="N26" s="32">
        <f>$J$13/$I$13</f>
        <v>200</v>
      </c>
    </row>
    <row r="27" spans="2:14" ht="15.75" thickBot="1" x14ac:dyDescent="0.3">
      <c r="B27" s="25" t="s">
        <v>25</v>
      </c>
      <c r="C27" s="36">
        <v>50</v>
      </c>
      <c r="D27" s="33">
        <f>E6</f>
        <v>32</v>
      </c>
      <c r="E27" s="32">
        <f>C27*D27</f>
        <v>1600</v>
      </c>
      <c r="H27" s="32" t="s">
        <v>72</v>
      </c>
      <c r="I27" s="36">
        <v>1</v>
      </c>
      <c r="J27" s="32">
        <f>$J$15/I15</f>
        <v>129.87012987012986</v>
      </c>
      <c r="L27" s="32" t="s">
        <v>72</v>
      </c>
      <c r="M27" s="36">
        <v>1</v>
      </c>
      <c r="N27" s="32">
        <f>$J$15/I15</f>
        <v>129.87012987012986</v>
      </c>
    </row>
    <row r="28" spans="2:14" ht="15.75" thickTop="1" x14ac:dyDescent="0.25">
      <c r="B28" s="25" t="s">
        <v>79</v>
      </c>
      <c r="D28" s="25"/>
      <c r="E28" s="32">
        <f>SUBTOTAL(109,Table2510152230[TOTAL])</f>
        <v>155913.83333333334</v>
      </c>
      <c r="H28" s="43" t="s">
        <v>58</v>
      </c>
      <c r="I28" s="44"/>
      <c r="J28" s="45">
        <f>SUBTOTAL(109,Table511162431[HARGA])</f>
        <v>8946.9916984975825</v>
      </c>
      <c r="L28" s="43" t="s">
        <v>58</v>
      </c>
      <c r="M28" s="44"/>
      <c r="N28" s="45">
        <f>SUBTOTAL(109,Table5913182633[HARGA])</f>
        <v>8029.8515024191502</v>
      </c>
    </row>
    <row r="29" spans="2:14" x14ac:dyDescent="0.25">
      <c r="B29" s="25" t="s">
        <v>80</v>
      </c>
      <c r="C29" s="71">
        <v>170</v>
      </c>
      <c r="D29" s="71"/>
      <c r="E29" s="71"/>
      <c r="H29" s="72" t="s">
        <v>70</v>
      </c>
      <c r="I29" s="72"/>
      <c r="J29" s="46">
        <v>20000</v>
      </c>
      <c r="L29" s="72" t="s">
        <v>70</v>
      </c>
      <c r="M29" s="72"/>
      <c r="N29" s="46">
        <v>20000</v>
      </c>
    </row>
    <row r="30" spans="2:14" x14ac:dyDescent="0.25">
      <c r="B30" s="25" t="s">
        <v>82</v>
      </c>
      <c r="C30" s="69">
        <f>Table2510152230[[#Totals],[TOTAL]]/C29</f>
        <v>917.14019607843147</v>
      </c>
      <c r="D30" s="69"/>
      <c r="E30" s="69"/>
      <c r="H30" s="67" t="s">
        <v>67</v>
      </c>
      <c r="I30" s="67"/>
      <c r="J30" s="32">
        <f>J29-Table511162431[[#Totals],[HARGA]]</f>
        <v>11053.008301502417</v>
      </c>
      <c r="L30" s="67" t="s">
        <v>67</v>
      </c>
      <c r="M30" s="67"/>
      <c r="N30" s="32">
        <f>N29-Table5913182633[[#Totals],[HARGA]]</f>
        <v>11970.148497580849</v>
      </c>
    </row>
    <row r="31" spans="2:14" x14ac:dyDescent="0.25">
      <c r="B31" s="25" t="s">
        <v>81</v>
      </c>
      <c r="C31" s="69"/>
      <c r="D31" s="69"/>
      <c r="E31" s="69"/>
      <c r="H31" s="67" t="s">
        <v>68</v>
      </c>
      <c r="I31" s="67"/>
      <c r="J31" s="34">
        <f>J30/J29</f>
        <v>0.55265041507512092</v>
      </c>
      <c r="L31" s="67" t="s">
        <v>68</v>
      </c>
      <c r="M31" s="67"/>
      <c r="N31" s="34">
        <f>N30/N29</f>
        <v>0.5985074248790424</v>
      </c>
    </row>
    <row r="32" spans="2:14" x14ac:dyDescent="0.25">
      <c r="D32" s="25"/>
      <c r="E32" s="25"/>
      <c r="H32" s="68" t="s">
        <v>69</v>
      </c>
      <c r="I32" s="68"/>
      <c r="J32" s="34">
        <f>Table511162431[[#Totals],[HARGA]]/J29</f>
        <v>0.44734958492487914</v>
      </c>
      <c r="L32" s="68" t="s">
        <v>69</v>
      </c>
      <c r="M32" s="68"/>
      <c r="N32" s="34">
        <f>Table5913182633[[#Totals],[HARGA]]/N29</f>
        <v>0.40149257512095748</v>
      </c>
    </row>
    <row r="33" spans="1:14" x14ac:dyDescent="0.25">
      <c r="D33" s="25"/>
      <c r="E33" s="25"/>
    </row>
    <row r="34" spans="1:14" x14ac:dyDescent="0.25">
      <c r="D34" s="25"/>
      <c r="E34" s="25"/>
      <c r="I34" s="47"/>
      <c r="J34" s="73"/>
      <c r="K34" s="73"/>
      <c r="L34" s="69"/>
      <c r="M34" s="69"/>
      <c r="N34" s="69"/>
    </row>
    <row r="35" spans="1:14" x14ac:dyDescent="0.25">
      <c r="D35" s="25"/>
      <c r="E35" s="25"/>
      <c r="L35" s="25"/>
      <c r="M35" s="25"/>
      <c r="N35" s="33"/>
    </row>
    <row r="36" spans="1:14" x14ac:dyDescent="0.25">
      <c r="D36" s="25"/>
      <c r="E36" s="25"/>
      <c r="H36" s="69" t="s">
        <v>76</v>
      </c>
      <c r="I36" s="69"/>
      <c r="J36" s="69"/>
      <c r="L36" s="69" t="s">
        <v>87</v>
      </c>
      <c r="M36" s="69"/>
      <c r="N36" s="69"/>
    </row>
    <row r="37" spans="1:14" x14ac:dyDescent="0.25">
      <c r="D37" s="25"/>
      <c r="E37" s="25"/>
      <c r="H37" s="25" t="s">
        <v>66</v>
      </c>
      <c r="I37" s="25" t="s">
        <v>5</v>
      </c>
      <c r="J37" s="33" t="s">
        <v>6</v>
      </c>
      <c r="L37" s="25" t="s">
        <v>66</v>
      </c>
      <c r="M37" s="25" t="s">
        <v>5</v>
      </c>
      <c r="N37" s="33" t="s">
        <v>6</v>
      </c>
    </row>
    <row r="38" spans="1:14" x14ac:dyDescent="0.25">
      <c r="D38" s="25"/>
      <c r="E38" s="25"/>
      <c r="H38" s="25" t="s">
        <v>29</v>
      </c>
      <c r="I38" s="25">
        <v>8</v>
      </c>
      <c r="J38" s="32">
        <f>$C$30*I38</f>
        <v>7337.1215686274518</v>
      </c>
      <c r="L38" s="25" t="s">
        <v>29</v>
      </c>
      <c r="M38" s="25">
        <v>10</v>
      </c>
      <c r="N38" s="32" t="e">
        <f>#REF!*$M$38</f>
        <v>#REF!</v>
      </c>
    </row>
    <row r="39" spans="1:14" x14ac:dyDescent="0.25">
      <c r="D39" s="25"/>
      <c r="E39" s="25"/>
      <c r="H39" s="25" t="s">
        <v>77</v>
      </c>
      <c r="I39" s="25">
        <v>1</v>
      </c>
      <c r="J39" s="32">
        <f>$J$14/$I$14</f>
        <v>1040</v>
      </c>
      <c r="L39" s="25" t="s">
        <v>77</v>
      </c>
      <c r="M39" s="25">
        <v>1</v>
      </c>
      <c r="N39" s="32">
        <f>$J$14/$I$14</f>
        <v>1040</v>
      </c>
    </row>
    <row r="40" spans="1:14" x14ac:dyDescent="0.25">
      <c r="D40" s="25"/>
      <c r="E40" s="25"/>
      <c r="H40" s="25" t="s">
        <v>19</v>
      </c>
      <c r="I40" s="25">
        <v>1</v>
      </c>
      <c r="J40" s="32">
        <f>$J$12/$I$12</f>
        <v>460</v>
      </c>
      <c r="L40" s="25" t="s">
        <v>19</v>
      </c>
      <c r="M40" s="25">
        <v>1</v>
      </c>
      <c r="N40" s="32">
        <f>$J$12/$I$12</f>
        <v>460</v>
      </c>
    </row>
    <row r="41" spans="1:14" ht="15.75" thickBot="1" x14ac:dyDescent="0.3">
      <c r="D41" s="34"/>
      <c r="H41" s="32" t="s">
        <v>72</v>
      </c>
      <c r="I41" s="36">
        <v>1</v>
      </c>
      <c r="J41" s="32">
        <f>$J$15/$I$15</f>
        <v>129.87012987012986</v>
      </c>
      <c r="L41" s="32" t="s">
        <v>72</v>
      </c>
      <c r="M41" s="36">
        <v>1</v>
      </c>
      <c r="N41" s="32">
        <f>$J$15/$I$15</f>
        <v>129.87012987012986</v>
      </c>
    </row>
    <row r="42" spans="1:14" ht="15.75" thickTop="1" x14ac:dyDescent="0.25">
      <c r="B42" s="32"/>
      <c r="H42" s="43" t="s">
        <v>58</v>
      </c>
      <c r="I42" s="44"/>
      <c r="J42" s="45">
        <f>SUBTOTAL(109,Table5712172532[HARGA])</f>
        <v>8966.9916984975825</v>
      </c>
      <c r="L42" s="43" t="s">
        <v>58</v>
      </c>
      <c r="M42" s="44"/>
      <c r="N42" s="45" t="e">
        <f>SUBTOTAL(109,Table571217202835[HARGA])</f>
        <v>#REF!</v>
      </c>
    </row>
    <row r="43" spans="1:14" x14ac:dyDescent="0.25">
      <c r="H43" s="72" t="s">
        <v>70</v>
      </c>
      <c r="I43" s="72"/>
      <c r="J43" s="46">
        <v>20000</v>
      </c>
      <c r="L43" s="72" t="s">
        <v>70</v>
      </c>
      <c r="M43" s="72"/>
      <c r="N43" s="46">
        <v>25000</v>
      </c>
    </row>
    <row r="44" spans="1:14" x14ac:dyDescent="0.25">
      <c r="H44" s="67" t="s">
        <v>67</v>
      </c>
      <c r="I44" s="67"/>
      <c r="J44" s="32">
        <f>J43-Table5712172532[[#Totals],[HARGA]]</f>
        <v>11033.008301502417</v>
      </c>
      <c r="L44" s="67" t="s">
        <v>67</v>
      </c>
      <c r="M44" s="67"/>
      <c r="N44" s="32" t="e">
        <f>N43-Table571217202835[[#Totals],[HARGA]]</f>
        <v>#REF!</v>
      </c>
    </row>
    <row r="45" spans="1:14" x14ac:dyDescent="0.25">
      <c r="F45" s="25"/>
      <c r="H45" s="67" t="s">
        <v>68</v>
      </c>
      <c r="I45" s="67"/>
      <c r="J45" s="34">
        <f>J44/J43</f>
        <v>0.55165041507512091</v>
      </c>
      <c r="L45" s="67" t="s">
        <v>68</v>
      </c>
      <c r="M45" s="67"/>
      <c r="N45" s="34" t="e">
        <f>N44/N43</f>
        <v>#REF!</v>
      </c>
    </row>
    <row r="46" spans="1:14" x14ac:dyDescent="0.25">
      <c r="H46" s="68" t="s">
        <v>69</v>
      </c>
      <c r="I46" s="68"/>
      <c r="J46" s="34">
        <f>Table5712172532[[#Totals],[HARGA]]/J43</f>
        <v>0.44834958492487914</v>
      </c>
      <c r="L46" s="68" t="s">
        <v>69</v>
      </c>
      <c r="M46" s="68"/>
      <c r="N46" s="34" t="e">
        <f>Table571217202835[[#Totals],[HARGA]]/N43</f>
        <v>#REF!</v>
      </c>
    </row>
    <row r="47" spans="1:14" ht="29.25" customHeight="1" x14ac:dyDescent="0.35">
      <c r="B47" s="70"/>
      <c r="C47" s="70"/>
      <c r="D47" s="70"/>
      <c r="E47" s="70"/>
      <c r="F47" s="70"/>
      <c r="G47" s="70"/>
      <c r="L47" s="33"/>
    </row>
    <row r="48" spans="1:14" x14ac:dyDescent="0.25">
      <c r="A48" s="26"/>
      <c r="B48" s="26"/>
      <c r="C48" s="27"/>
      <c r="D48" s="28"/>
      <c r="E48" s="29"/>
      <c r="F48" s="27"/>
      <c r="G48" s="27"/>
      <c r="H48" s="33"/>
      <c r="L48" s="33"/>
    </row>
    <row r="49" spans="1:12" x14ac:dyDescent="0.25">
      <c r="A49" s="30"/>
      <c r="B49" s="30"/>
      <c r="D49" s="31"/>
      <c r="F49" s="25"/>
      <c r="G49" s="32"/>
      <c r="H49" s="33"/>
      <c r="L49" s="33"/>
    </row>
    <row r="50" spans="1:12" x14ac:dyDescent="0.25">
      <c r="F50" s="25"/>
      <c r="H50" s="33"/>
      <c r="L50" s="33"/>
    </row>
    <row r="51" spans="1:12" x14ac:dyDescent="0.25">
      <c r="F51" s="25"/>
      <c r="H51" s="33"/>
      <c r="L51" s="33"/>
    </row>
    <row r="52" spans="1:12" x14ac:dyDescent="0.25">
      <c r="F52" s="25"/>
      <c r="H52" s="33"/>
      <c r="L52" s="33"/>
    </row>
    <row r="53" spans="1:12" x14ac:dyDescent="0.25">
      <c r="F53" s="25"/>
      <c r="H53" s="31"/>
      <c r="L53" s="31"/>
    </row>
  </sheetData>
  <mergeCells count="30">
    <mergeCell ref="B47:G47"/>
    <mergeCell ref="H44:I44"/>
    <mergeCell ref="L44:M44"/>
    <mergeCell ref="H45:I45"/>
    <mergeCell ref="L45:M45"/>
    <mergeCell ref="H46:I46"/>
    <mergeCell ref="L46:M46"/>
    <mergeCell ref="H36:J36"/>
    <mergeCell ref="L36:N36"/>
    <mergeCell ref="C29:E29"/>
    <mergeCell ref="C30:E30"/>
    <mergeCell ref="C31:E31"/>
    <mergeCell ref="H43:I43"/>
    <mergeCell ref="L43:M43"/>
    <mergeCell ref="H31:I31"/>
    <mergeCell ref="L31:M31"/>
    <mergeCell ref="B23:E23"/>
    <mergeCell ref="H32:I32"/>
    <mergeCell ref="L32:M32"/>
    <mergeCell ref="J34:K34"/>
    <mergeCell ref="L34:N34"/>
    <mergeCell ref="H29:I29"/>
    <mergeCell ref="L29:M29"/>
    <mergeCell ref="H30:I30"/>
    <mergeCell ref="L30:M30"/>
    <mergeCell ref="B1:E2"/>
    <mergeCell ref="A3:B3"/>
    <mergeCell ref="H8:K9"/>
    <mergeCell ref="H21:J21"/>
    <mergeCell ref="L21:N21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7D11-E36A-4804-8C8C-F350F44886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</vt:vector>
  </HeadingPairs>
  <TitlesOfParts>
    <vt:vector size="14" baseType="lpstr">
      <vt:lpstr>POS</vt:lpstr>
      <vt:lpstr>CASH FLOW</vt:lpstr>
      <vt:lpstr>TOTAL HPP</vt:lpstr>
      <vt:lpstr>RESEP</vt:lpstr>
      <vt:lpstr>MASTER BAHAN</vt:lpstr>
      <vt:lpstr>Btach 1</vt:lpstr>
      <vt:lpstr>Batch2</vt:lpstr>
      <vt:lpstr>BATCH 3</vt:lpstr>
      <vt:lpstr>BATCH 4</vt:lpstr>
      <vt:lpstr>BATCH 5</vt:lpstr>
      <vt:lpstr>BATCH 6</vt:lpstr>
      <vt:lpstr>BATCH 7</vt:lpstr>
      <vt:lpstr>BATCH 9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Adityswah A</dc:creator>
  <cp:lastModifiedBy>Adityswah A</cp:lastModifiedBy>
  <dcterms:created xsi:type="dcterms:W3CDTF">2026-07-29T02:27:49Z</dcterms:created>
  <dcterms:modified xsi:type="dcterms:W3CDTF">2026-09-29T12:25:19Z</dcterms:modified>
</cp:coreProperties>
</file>